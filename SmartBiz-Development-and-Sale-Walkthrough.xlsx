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OSMAS\Dev\SmartBiz-Estate\"/>
    </mc:Choice>
  </mc:AlternateContent>
  <xr:revisionPtr revIDLastSave="0" documentId="8_{FFFA00F5-7F68-4546-ACD6-35D0A324615B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Read me" sheetId="1" r:id="rId1"/>
    <sheet name="Summary" sheetId="2" r:id="rId2"/>
    <sheet name="Scenario" sheetId="3" r:id="rId3"/>
    <sheet name="Test script" sheetId="4" r:id="rId4"/>
    <sheet name="Defects" sheetId="5" r:id="rId5"/>
  </sheets>
  <definedNames>
    <definedName name="_xlnm._FilterDatabase" localSheetId="3" hidden="1">'Test script'!$A$1:$J$71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3" l="1"/>
  <c r="F16" i="3"/>
  <c r="F15" i="3"/>
  <c r="D10" i="3"/>
  <c r="C10" i="3"/>
  <c r="E9" i="3"/>
  <c r="E8" i="3"/>
  <c r="E7" i="3"/>
  <c r="E6" i="3"/>
  <c r="E5" i="3"/>
  <c r="E4" i="3"/>
  <c r="E10" i="3" s="1"/>
  <c r="C21" i="2"/>
  <c r="G18" i="2"/>
  <c r="F18" i="2"/>
  <c r="E18" i="2"/>
  <c r="D18" i="2"/>
  <c r="C18" i="2"/>
  <c r="H18" i="2" s="1"/>
  <c r="I18" i="2" s="1"/>
  <c r="G17" i="2"/>
  <c r="F17" i="2"/>
  <c r="E17" i="2"/>
  <c r="D17" i="2"/>
  <c r="C17" i="2"/>
  <c r="H17" i="2" s="1"/>
  <c r="I17" i="2" s="1"/>
  <c r="G16" i="2"/>
  <c r="F16" i="2"/>
  <c r="E16" i="2"/>
  <c r="D16" i="2"/>
  <c r="C16" i="2"/>
  <c r="H16" i="2" s="1"/>
  <c r="I16" i="2" s="1"/>
  <c r="G15" i="2"/>
  <c r="F15" i="2"/>
  <c r="E15" i="2"/>
  <c r="D15" i="2"/>
  <c r="C15" i="2"/>
  <c r="H15" i="2" s="1"/>
  <c r="I15" i="2" s="1"/>
  <c r="G14" i="2"/>
  <c r="H14" i="2" s="1"/>
  <c r="I14" i="2" s="1"/>
  <c r="F14" i="2"/>
  <c r="E14" i="2"/>
  <c r="D14" i="2"/>
  <c r="C14" i="2"/>
  <c r="G13" i="2"/>
  <c r="F13" i="2"/>
  <c r="E13" i="2"/>
  <c r="D13" i="2"/>
  <c r="C13" i="2"/>
  <c r="H13" i="2" s="1"/>
  <c r="I13" i="2" s="1"/>
  <c r="G12" i="2"/>
  <c r="F12" i="2"/>
  <c r="E12" i="2"/>
  <c r="D12" i="2"/>
  <c r="C12" i="2"/>
  <c r="H12" i="2" s="1"/>
  <c r="I12" i="2" s="1"/>
  <c r="G11" i="2"/>
  <c r="F11" i="2"/>
  <c r="E11" i="2"/>
  <c r="D11" i="2"/>
  <c r="C11" i="2"/>
  <c r="H11" i="2" s="1"/>
  <c r="I11" i="2" s="1"/>
  <c r="G10" i="2"/>
  <c r="F10" i="2"/>
  <c r="E10" i="2"/>
  <c r="D10" i="2"/>
  <c r="C10" i="2"/>
  <c r="H10" i="2" s="1"/>
  <c r="I10" i="2" s="1"/>
  <c r="G9" i="2"/>
  <c r="F9" i="2"/>
  <c r="E9" i="2"/>
  <c r="D9" i="2"/>
  <c r="C9" i="2"/>
  <c r="H9" i="2" s="1"/>
  <c r="I9" i="2" s="1"/>
  <c r="G8" i="2"/>
  <c r="F8" i="2"/>
  <c r="E8" i="2"/>
  <c r="D8" i="2"/>
  <c r="C8" i="2"/>
  <c r="H8" i="2" s="1"/>
  <c r="I8" i="2" s="1"/>
  <c r="G7" i="2"/>
  <c r="F7" i="2"/>
  <c r="E7" i="2"/>
  <c r="D7" i="2"/>
  <c r="C7" i="2"/>
  <c r="H7" i="2" s="1"/>
  <c r="I7" i="2" s="1"/>
  <c r="G6" i="2"/>
  <c r="G19" i="2" s="1"/>
  <c r="F6" i="2"/>
  <c r="F19" i="2" s="1"/>
  <c r="E6" i="2"/>
  <c r="E19" i="2" s="1"/>
  <c r="D6" i="2"/>
  <c r="D19" i="2" s="1"/>
  <c r="C6" i="2"/>
  <c r="C22" i="3" l="1"/>
  <c r="C20" i="3"/>
  <c r="C23" i="3"/>
  <c r="C24" i="3" s="1"/>
  <c r="C19" i="2"/>
  <c r="H6" i="2"/>
  <c r="H19" i="2" l="1"/>
  <c r="I19" i="2" s="1"/>
  <c r="I6" i="2"/>
</calcChain>
</file>

<file path=xl/sharedStrings.xml><?xml version="1.0" encoding="utf-8"?>
<sst xmlns="http://schemas.openxmlformats.org/spreadsheetml/2006/main" count="644" uniqueCount="452">
  <si>
    <t>SmartBiz Estate: property development and sale walkthrough</t>
  </si>
  <si>
    <t>A real project from start to finish: buy land, budget and record costs, subdivide, price, sell five plots in different ways, advertise, and check the margins at every step.</t>
  </si>
  <si>
    <t>The story</t>
  </si>
  <si>
    <t>Business</t>
  </si>
  <si>
    <t>Tujenge Land Developers (Developer), created by owner@smartbiz.test (password Demo@12345).</t>
  </si>
  <si>
    <t>Project</t>
  </si>
  <si>
    <t>Kitengela Gardens Phase 1: 2 acres on Namanga Road, Kitengela, bought for KES 9,000,000 (budgeted 9,500,000), subdivided into 16 plots of 450 sqm: Plots 1-12 at 1,200,000 and Plots 13-16 at 1,500,000.</t>
  </si>
  <si>
    <t>Buyers</t>
  </si>
  <si>
    <t>Mercy pays cash and gets her title. Peter pays by instalments and falls behind. Baraka Investments Ltd pays quarterly. Grace reserves and withdraws. John's cheque bounces. A lead from the website reserves Plot 5 to test auto-hiding.</t>
  </si>
  <si>
    <t>Before you start</t>
  </si>
  <si>
    <t>Environment</t>
  </si>
  <si>
    <t>Any database (demo data can stay). Everything happens in a NEW business, so nothing else interferes. Use Development (emails in /dev/mailbox) or real SMTP with an inbox you can open.</t>
  </si>
  <si>
    <t>Dates</t>
  </si>
  <si>
    <t>T = the day you run the test. T-100 = 100 days before. 'Sale date + 1 month' = the same day next month. Back-dated entries are allowed; future-dated actual costs and sales are not.</t>
  </si>
  <si>
    <t>Order</t>
  </si>
  <si>
    <t>Run top to bottom. Each phase builds on the one before; the figures in the checkpoints assume every earlier step passed.</t>
  </si>
  <si>
    <t>Credits</t>
  </si>
  <si>
    <t>Note the starting balance (B0) in step A-02. Only the lead (10) and PDFs (2 each) use credits in this script.</t>
  </si>
  <si>
    <t>How to record results</t>
  </si>
  <si>
    <t>Cells you fill in</t>
  </si>
  <si>
    <t>Only the shaded columns on 'Test script': Status, Actual result / notes, Tester, Date.</t>
  </si>
  <si>
    <t>Status</t>
  </si>
  <si>
    <t>Not run, Pass, Fail or Blocked (couldn't run because an earlier step failed).</t>
  </si>
  <si>
    <t>Fail</t>
  </si>
  <si>
    <t>Write what you saw in 'Actual result / notes' and log it on 'Defects' with the step ID.</t>
  </si>
  <si>
    <t>Scenario</t>
  </si>
  <si>
    <t>The 'Scenario' sheet has every budget line, cost, plot and sale plan in one place, plus the key expected figures.</t>
  </si>
  <si>
    <t>Results by phase</t>
  </si>
  <si>
    <t>Updates automatically from the Status column on 'Test script'. Pass rate = Pass / (steps run).</t>
  </si>
  <si>
    <t>Phase</t>
  </si>
  <si>
    <t>Steps</t>
  </si>
  <si>
    <t>Pass</t>
  </si>
  <si>
    <t>Blocked</t>
  </si>
  <si>
    <t>Not run</t>
  </si>
  <si>
    <t>Run</t>
  </si>
  <si>
    <t>Pass rate</t>
  </si>
  <si>
    <t>A Set up the business</t>
  </si>
  <si>
    <t>B Land purchase and budget</t>
  </si>
  <si>
    <t>C Actual costs</t>
  </si>
  <si>
    <t>D Subdivision and plots</t>
  </si>
  <si>
    <t>E Margins before selling</t>
  </si>
  <si>
    <t>F Sale 1: cash in full (Mercy)</t>
  </si>
  <si>
    <t>G Sale 2: instalments with arrears (Peter)</t>
  </si>
  <si>
    <t>H Sale 3: company, quarterly (Baraka Ltd)</t>
  </si>
  <si>
    <t>I Cancelling and reversing (Grace, John)</t>
  </si>
  <si>
    <t>J Margins after selling</t>
  </si>
  <si>
    <t>K Listing, lead and auto-hide</t>
  </si>
  <si>
    <t>L Reports and statements</t>
  </si>
  <si>
    <t>M Things that must be refused</t>
  </si>
  <si>
    <t>Total</t>
  </si>
  <si>
    <t>Open defects</t>
  </si>
  <si>
    <t>Budget (step B-03) and actual costs (C-01 to C-05, E-06)</t>
  </si>
  <si>
    <t>Category</t>
  </si>
  <si>
    <t>Budget</t>
  </si>
  <si>
    <t>Actual</t>
  </si>
  <si>
    <t>Expected</t>
  </si>
  <si>
    <t>Actual lines</t>
  </si>
  <si>
    <t>Land purchase price</t>
  </si>
  <si>
    <t>Purchase price (B-05)</t>
  </si>
  <si>
    <t>Purchase costs</t>
  </si>
  <si>
    <t>Stamp duty 360,000; conveyancing 100,000</t>
  </si>
  <si>
    <t>Approvals</t>
  </si>
  <si>
    <t>County approval and LCB consent</t>
  </si>
  <si>
    <t>Subdivision</t>
  </si>
  <si>
    <t>Survey 450,000; beacons 80,000; titles 120,000</t>
  </si>
  <si>
    <t>Infrastructure</t>
  </si>
  <si>
    <t>Murram roads (power and water still to come)</t>
  </si>
  <si>
    <t>Marketing</t>
  </si>
  <si>
    <t>None yet</t>
  </si>
  <si>
    <t>Total (before plot fencing)</t>
  </si>
  <si>
    <t>Plot 16 fencing (E-06, Plot 16 only)</t>
  </si>
  <si>
    <t>Plots (D-02, D-03)</t>
  </si>
  <si>
    <t>Plots</t>
  </si>
  <si>
    <t>Count</t>
  </si>
  <si>
    <t>Size (sqm)</t>
  </si>
  <si>
    <t>Price each</t>
  </si>
  <si>
    <t>Plot 1 to Plot 12</t>
  </si>
  <si>
    <t>Plot 13 to Plot 16</t>
  </si>
  <si>
    <t>Key expected figures</t>
  </si>
  <si>
    <t>Figure</t>
  </si>
  <si>
    <t>Value</t>
  </si>
  <si>
    <t>Where checked</t>
  </si>
  <si>
    <t>Expected cost per plot (by size)</t>
  </si>
  <si>
    <t>E-01</t>
  </si>
  <si>
    <t>Projected sales revenue</t>
  </si>
  <si>
    <t>E-03</t>
  </si>
  <si>
    <t>Projected margin (before fencing)</t>
  </si>
  <si>
    <t>E-03: 36%</t>
  </si>
  <si>
    <t>Expected total with fencing</t>
  </si>
  <si>
    <t>E-06</t>
  </si>
  <si>
    <t>Projected margin with fencing</t>
  </si>
  <si>
    <t>E-06, J-02: 35.7%</t>
  </si>
  <si>
    <t>Collected after the sales</t>
  </si>
  <si>
    <t>J-01, J-02</t>
  </si>
  <si>
    <t>Break-even after the sales</t>
  </si>
  <si>
    <t>8 more units</t>
  </si>
  <si>
    <t>J-02</t>
  </si>
  <si>
    <t>Sales (phases F to K)</t>
  </si>
  <si>
    <t>Sale</t>
  </si>
  <si>
    <t>Plot</t>
  </si>
  <si>
    <t>Price</t>
  </si>
  <si>
    <t>Plan</t>
  </si>
  <si>
    <t>Payments recorded</t>
  </si>
  <si>
    <t>SL-00001 Mercy Chebet</t>
  </si>
  <si>
    <t>Plot 1</t>
  </si>
  <si>
    <t>Full payment, sale date T</t>
  </si>
  <si>
    <t>1,200,000 bank, ref FT26KT0001; completed</t>
  </si>
  <si>
    <t>SL-00002 Peter Otieno</t>
  </si>
  <si>
    <t>Plot 2</t>
  </si>
  <si>
    <t>Deposit 240,000 + 6 x 160,000 monthly; sale date T-100</t>
  </si>
  <si>
    <t>240,000 + 160,000 + 160,000 M-PESA; instalment 3 overdue</t>
  </si>
  <si>
    <t>SL-00003 Baraka Investments Ltd</t>
  </si>
  <si>
    <t>Plot 13</t>
  </si>
  <si>
    <t>Deposit 300,000 + 4 x 300,000 quarterly; sale date T</t>
  </si>
  <si>
    <t>300,000 bank, ref FT26KT0002</t>
  </si>
  <si>
    <t>SL-00004 Grace Wanjiku</t>
  </si>
  <si>
    <t>Plot 3</t>
  </si>
  <si>
    <t>Deposit 240,000 + 12 monthly</t>
  </si>
  <si>
    <t>None; cancelled</t>
  </si>
  <si>
    <t>SL-00005 John Kamau</t>
  </si>
  <si>
    <t>Plot 4</t>
  </si>
  <si>
    <t>Deposit 240,000 + 6 monthly</t>
  </si>
  <si>
    <t>240,000 cheque, reversed; cancelled</t>
  </si>
  <si>
    <t>SL-00006 Lead Tester</t>
  </si>
  <si>
    <t>Plot 5</t>
  </si>
  <si>
    <t>Full payment (auto-hide test)</t>
  </si>
  <si>
    <t>ID</t>
  </si>
  <si>
    <t>Area</t>
  </si>
  <si>
    <t>Test data</t>
  </si>
  <si>
    <t>Expected result</t>
  </si>
  <si>
    <t>Actual result / notes</t>
  </si>
  <si>
    <t>Tester</t>
  </si>
  <si>
    <t>Date</t>
  </si>
  <si>
    <t>A-01</t>
  </si>
  <si>
    <t>New business</t>
  </si>
  <si>
    <t>Sign in as owner@smartbiz.test. Switcher &gt; Create another business.</t>
  </si>
  <si>
    <t>Name: Tujenge Land Developers; type Developer; phone 0722 100 200; KRA PIN P051234567X</t>
  </si>
  <si>
    <t>Dashboard opens for Tujenge Land Developers. Sidebar shows Sales and Costs and margins.</t>
  </si>
  <si>
    <t>A-02</t>
  </si>
  <si>
    <t>Starting point</t>
  </si>
  <si>
    <t>Open Account &gt; Credits. Note the balance as B0. Open Account &gt; Subscription.</t>
  </si>
  <si>
    <t>-</t>
  </si>
  <si>
    <t>Trial, 14 days. Credits history shows the trial allocation. Write B0 in the notes; later steps refer to it.</t>
  </si>
  <si>
    <t>A-03</t>
  </si>
  <si>
    <t>Business details</t>
  </si>
  <si>
    <t>Account &gt; Business settings: add email and address. Upload a logo.</t>
  </si>
  <si>
    <t>Email info@tujenge.test; address Kitengela town</t>
  </si>
  <si>
    <t>Saved; logo shows (it will appear on PDFs).</t>
  </si>
  <si>
    <t>B-01</t>
  </si>
  <si>
    <t>Portfolio &gt; Properties &gt; Add property.</t>
  </si>
  <si>
    <t>Name: Kitengela Gardens Phase 1; type Land; location Namanga Road, Kitengela; county Kajiado</t>
  </si>
  <si>
    <t>Property created.</t>
  </si>
  <si>
    <t>B-02</t>
  </si>
  <si>
    <t>Budgeted land price</t>
  </si>
  <si>
    <t>Costs and margins &gt; Kitengela Gardens Phase 1 &gt; Purchase and subdivision. Enter the budget only (not the purchase yet). Save.</t>
  </si>
  <si>
    <t>Budgeted land price 9,500,000; title KAJIADO/KITENGELA/9001; land size 2 acres; spread shared costs: By size</t>
  </si>
  <si>
    <t>Saved. Margins tab: 'Land purchase price' budget 9,500,000, actual 0, expected 9,500,000.</t>
  </si>
  <si>
    <t>B-03</t>
  </si>
  <si>
    <t>Budget lines</t>
  </si>
  <si>
    <t>Budget and costs: add five lines, each as Budget estimate, Whole project.</t>
  </si>
  <si>
    <t>Purchase costs 'Stamp duty, legal, valuation' 500,000 | Subdivision 'Survey, mutation, beacons, titles' 600,000 | Infrastructure 'Roads, water and power' 2,400,000 | Approvals 'County approval and LCB' 200,000 | Marketing 'Signboards and adverts' 300,000</t>
  </si>
  <si>
    <t>Five budget lines listed, each tagged Budget.</t>
  </si>
  <si>
    <t>B-04</t>
  </si>
  <si>
    <t>Checkpoint: budget only</t>
  </si>
  <si>
    <t>Open Margins.</t>
  </si>
  <si>
    <t>Budget 13,500,000; spent 0; expected total 13,500,000. Each category shows 'x left'. No sales box yet (no plots).</t>
  </si>
  <si>
    <t>B-05</t>
  </si>
  <si>
    <t>Buy the land</t>
  </si>
  <si>
    <t>Purchase and subdivision: enter the purchase. Save.</t>
  </si>
  <si>
    <t>Purchase price 9,000,000; date T-120; bought from 'Ole Nkoile family'</t>
  </si>
  <si>
    <t>Saved. Margins: land row budget 9,500,000, actual 9,000,000, expected 9,000,000. Expected total 13,000,000; spent 9,000,000.</t>
  </si>
  <si>
    <t>C-01</t>
  </si>
  <si>
    <t>Budget and costs &gt; Actual cost, Purchase costs. Add two lines.</t>
  </si>
  <si>
    <t>Stamp duty (4%) 360,000, date T-118, supplier KRA | Conveyancing 100,000, date T-118, supplier Mwangi &amp; Co Advocates</t>
  </si>
  <si>
    <t>Two actual lines. Purchase costs: actual 460,000 vs budget 500,000 ('40,000 left').</t>
  </si>
  <si>
    <t>C-02</t>
  </si>
  <si>
    <t>Receipt</t>
  </si>
  <si>
    <t>Edit the stamp duty line and attach a receipt (PDF or JPG). Open it from the list.</t>
  </si>
  <si>
    <t>Any small PDF</t>
  </si>
  <si>
    <t>Paperclip 'Receipt' link opens the file.</t>
  </si>
  <si>
    <t>C-03</t>
  </si>
  <si>
    <t>Add an actual Approvals cost.</t>
  </si>
  <si>
    <t>County approval and LCB consent 200,000, date T-110</t>
  </si>
  <si>
    <t>Approvals: actual 200,000 = budget ('on budget').</t>
  </si>
  <si>
    <t>C-04</t>
  </si>
  <si>
    <t>Subdivision costs</t>
  </si>
  <si>
    <t>Add three actual Subdivision costs.</t>
  </si>
  <si>
    <t>Survey and mutation 450,000 (T-100) | Beacons 80,000 (T-95) | Title processing, 16 titles 120,000 (T-60)</t>
  </si>
  <si>
    <t>Subdivision: actual 650,000 vs budget 600,000 shown as '+50,000 over' in red.</t>
  </si>
  <si>
    <t>C-05</t>
  </si>
  <si>
    <t>Add an actual Infrastructure cost.</t>
  </si>
  <si>
    <t>Murram access roads 1,300,000, date T-80, supplier Kitengela Earthmovers</t>
  </si>
  <si>
    <t>Infrastructure: actual 1,300,000 vs budget 2,400,000 ('1,100,000 left'); expected stays 2,400,000.</t>
  </si>
  <si>
    <t>C-06</t>
  </si>
  <si>
    <t>Checkpoint: costs</t>
  </si>
  <si>
    <t>Budget 13,500,000. Spent 11,610,000 ('89% of expected'). Expected total 13,050,000. Rows: Land 9.5M/9.0M/9.0M; Purchase costs 500,000/460,000/500,000; Infrastructure 2,400,000/1,300,000/2,400,000; Approvals 200,000/200,000/200,000; Subdivision 600,000/650,000/650,000; Marketing 300,000/0/300,000.</t>
  </si>
  <si>
    <t>D-01</t>
  </si>
  <si>
    <t>Subdivision approval</t>
  </si>
  <si>
    <t>Purchase and subdivision: enter the approval. Save.</t>
  </si>
  <si>
    <t>Reference KAJ/LCB/2026/0777; approved on T-90</t>
  </si>
  <si>
    <t>Saved.</t>
  </si>
  <si>
    <t>D-02</t>
  </si>
  <si>
    <t>Standard plots</t>
  </si>
  <si>
    <t>Create plots.</t>
  </si>
  <si>
    <t>Name 'Plot ', start 1, count 12, size 450, price 1,200,000</t>
  </si>
  <si>
    <t>12 plots created (Plot 1 to Plot 12).</t>
  </si>
  <si>
    <t>D-03</t>
  </si>
  <si>
    <t>Premium plots</t>
  </si>
  <si>
    <t>Create plots again.</t>
  </si>
  <si>
    <t>Name 'Plot ', start 13, count 4, size 450, price 1,500,000</t>
  </si>
  <si>
    <t>4 more plots (Plot 13 to Plot 16). Total 16.</t>
  </si>
  <si>
    <t>D-04</t>
  </si>
  <si>
    <t>Land check</t>
  </si>
  <si>
    <t>Look at the subdivision figures.</t>
  </si>
  <si>
    <t>Total land 8,094 sqm (2 acres); in plots 7,200 sqm, 16 plots; roads and common areas 894 sqm, 11% of the land.</t>
  </si>
  <si>
    <t>D-05</t>
  </si>
  <si>
    <t>Titles</t>
  </si>
  <si>
    <t>Give Plot 1 and Plot 2 their title numbers.</t>
  </si>
  <si>
    <t>KAJIADO/KITENGELA/9001/1 and /9001/2</t>
  </si>
  <si>
    <t>Titles saved; '2 with titles'. Entering /9001/1 on another plot is refused (already used).</t>
  </si>
  <si>
    <t>D-06</t>
  </si>
  <si>
    <t>Plan limit</t>
  </si>
  <si>
    <t>Properties: check units used.</t>
  </si>
  <si>
    <t>The 16 plots count towards the plan's unit limit (sold plots will stop counting later).</t>
  </si>
  <si>
    <t>Unit costs</t>
  </si>
  <si>
    <t>Margins &gt; Units table.</t>
  </si>
  <si>
    <t>Every plot costs 815,625 (13,050,000 / 16; all the same size).</t>
  </si>
  <si>
    <t>E-02</t>
  </si>
  <si>
    <t>Unit margins</t>
  </si>
  <si>
    <t>Read Plot 1 and Plot 13 in the units table.</t>
  </si>
  <si>
    <t>Plot 1: margin 384,375 (32%), 'asking price'. Plot 13: margin 684,375 (45.6%).</t>
  </si>
  <si>
    <t>Project margin</t>
  </si>
  <si>
    <t>Read the top strip and the Sales box.</t>
  </si>
  <si>
    <t>Projected sales revenue 20,400,000; projected margin 7,350,000 (36%). Break-even: 'Sell 11 more units'.</t>
  </si>
  <si>
    <t>E-04</t>
  </si>
  <si>
    <t>Allocation by value</t>
  </si>
  <si>
    <t>Purchase and subdivision: switch to 'By sale value'. Save. Back to Margins.</t>
  </si>
  <si>
    <t>Standard plots cost 767,647.06, premium 959,558.82; every plot shows a 36% margin. Total still 13,050,000.</t>
  </si>
  <si>
    <t>E-05</t>
  </si>
  <si>
    <t>Back to by size</t>
  </si>
  <si>
    <t>Switch back to 'By size (sqm)'. Save.</t>
  </si>
  <si>
    <t>Costs back to 815,625 each.</t>
  </si>
  <si>
    <t>Plot-specific cost</t>
  </si>
  <si>
    <t>Budget and costs &gt; Actual cost, Construction, Applies to: Plot 16 only.</t>
  </si>
  <si>
    <t>Corner plot fencing 60,000, date T-30</t>
  </si>
  <si>
    <t>Plot 16 costs 875,625 ('incl. 60,000 own costs'); margin 624,375 (41.6%). Other plots unchanged. Expected total 13,110,000; projected margin 7,290,000 (35.7%).</t>
  </si>
  <si>
    <t>F-01</t>
  </si>
  <si>
    <t>Buyer</t>
  </si>
  <si>
    <t>Sales &gt; Buyers &gt; Add buyer.</t>
  </si>
  <si>
    <t>Mercy Chebet; individual; phone 0711 300 400; ID 28345678; email (yours or any)</t>
  </si>
  <si>
    <t>Buyer saved.</t>
  </si>
  <si>
    <t>F-02</t>
  </si>
  <si>
    <t>Sales &gt; New sale. Buyer Mercy; unit Plot 1; plan Full payment; sale date T.</t>
  </si>
  <si>
    <t>Price fills 1,200,000. Schedule preview: one line 'Full payment' 1,200,000 due T. Record: sale SL-00001, status Reserved; Plot 1 Reserved.</t>
  </si>
  <si>
    <t>F-03</t>
  </si>
  <si>
    <t>Payment</t>
  </si>
  <si>
    <t>Record a payment.</t>
  </si>
  <si>
    <t>Bank transfer; 1,200,000; date T; reference FT26KT0001</t>
  </si>
  <si>
    <t>Schedule line Paid; paid 1,200,000 (100%); balance 0. Status still Reserved (agreement not yet recorded).</t>
  </si>
  <si>
    <t>F-04</t>
  </si>
  <si>
    <t>Agreement</t>
  </si>
  <si>
    <t>Transfer progress: record Sale agreement with a PDF.</t>
  </si>
  <si>
    <t>Date T; reference AGR-KG-001</t>
  </si>
  <si>
    <t>Status Active; Plot 1 Sold. Document downloadable. Next step offered: Stamp duty.</t>
  </si>
  <si>
    <t>F-05</t>
  </si>
  <si>
    <t>Stamp duty and title</t>
  </si>
  <si>
    <t>Record Stamp duty, then Title transfer.</t>
  </si>
  <si>
    <t>Stamp duty ref KRA-SD-26-0001; title ref KAJIADO/KITENGELA/9001/1</t>
  </si>
  <si>
    <t>Each recorded in order; Handover offered next.</t>
  </si>
  <si>
    <t>F-06</t>
  </si>
  <si>
    <t>Handover</t>
  </si>
  <si>
    <t>Record Handover.</t>
  </si>
  <si>
    <t>Date T</t>
  </si>
  <si>
    <t>Status Completed (paid in full and handed over).</t>
  </si>
  <si>
    <t>G-01</t>
  </si>
  <si>
    <t>Add buyer.</t>
  </si>
  <si>
    <t>Peter Otieno; phone 0722 555 666; ID 30112233</t>
  </si>
  <si>
    <t>G-02</t>
  </si>
  <si>
    <t>Back-dated sale</t>
  </si>
  <si>
    <t>New sale for Plot 2. Instalments. Watch the preview before saving.</t>
  </si>
  <si>
    <t>Sale date T-100; deposit 240,000; 6 instalments, monthly; first instalment = sale date + 1 month</t>
  </si>
  <si>
    <t>Preview: Deposit 240,000 + 6 x 160,000; total exactly 1,200,000. Record: SL-00002, Reserved.</t>
  </si>
  <si>
    <t>G-03</t>
  </si>
  <si>
    <t>Deposit</t>
  </si>
  <si>
    <t>Record the deposit payment.</t>
  </si>
  <si>
    <t>M-PESA; 240,000; date T-100; code SKA1B2C3D4</t>
  </si>
  <si>
    <t>Deposit Paid.</t>
  </si>
  <si>
    <t>G-04</t>
  </si>
  <si>
    <t>Instalments 1 and 2</t>
  </si>
  <si>
    <t>Record two more payments, each dated on that instalment's due date.</t>
  </si>
  <si>
    <t>160,000 code SKA1B2C3D5; 160,000 code SKA1B2C3D6</t>
  </si>
  <si>
    <t>Instalments 1 and 2 Paid. Instalment 3 (due about T-10) shows Overdue.</t>
  </si>
  <si>
    <t>G-05</t>
  </si>
  <si>
    <t>Checkpoint: Peter</t>
  </si>
  <si>
    <t>Read the sale page.</t>
  </si>
  <si>
    <t>Paid 560,000 (47%); balance 640,000; overdue 160,000.</t>
  </si>
  <si>
    <t>G-06</t>
  </si>
  <si>
    <t>Agreement and title</t>
  </si>
  <si>
    <t>Record the Agreement (date T-100), Stamp duty and Title transfer.</t>
  </si>
  <si>
    <t>Title ref KAJIADO/KITENGELA/9001/2</t>
  </si>
  <si>
    <t>Status Active; Plot 2 Sold. Handover not available: 'The buyer must pay in full before handover.'</t>
  </si>
  <si>
    <t>H-01</t>
  </si>
  <si>
    <t>Company buyer</t>
  </si>
  <si>
    <t>Add buyer, type Company.</t>
  </si>
  <si>
    <t>Baraka Investments Ltd; KRA PIN P051998877K; phone 0733 777 888</t>
  </si>
  <si>
    <t>Buyer saved as a company.</t>
  </si>
  <si>
    <t>H-02</t>
  </si>
  <si>
    <t>Quarterly sale</t>
  </si>
  <si>
    <t>New sale for Plot 13. Instalments.</t>
  </si>
  <si>
    <t>Sale date T; deposit 300,000; 4 instalments, quarterly; first instalment T + 3 months</t>
  </si>
  <si>
    <t>Price fills 1,500,000. Preview: Deposit 300,000 + 4 x 300,000, three months apart. Record: SL-00003, Reserved.</t>
  </si>
  <si>
    <t>H-03</t>
  </si>
  <si>
    <t>Record the deposit.</t>
  </si>
  <si>
    <t>Bank transfer; 300,000; date T; reference FT26KT0002</t>
  </si>
  <si>
    <t>Deposit Paid; no instalment overdue. Status stays Reserved (no agreement yet).</t>
  </si>
  <si>
    <t>I-01</t>
  </si>
  <si>
    <t>Reserve and withdraw</t>
  </si>
  <si>
    <t>Add buyer Grace Wanjiku. New sale for Plot 3 (instalments: deposit 240,000, 12 monthly, first T+1 month). Then Cancel sale.</t>
  </si>
  <si>
    <t>Reason: Buyer withdrew before paying</t>
  </si>
  <si>
    <t>Sale SL-00004 Cancelled with the reason shown; Plot 3 back to Available.</t>
  </si>
  <si>
    <t>I-02</t>
  </si>
  <si>
    <t>Bounced cheque</t>
  </si>
  <si>
    <t>Add buyer John Kamau. New sale for Plot 4 (deposit 240,000, 6 monthly, first T+1 month). Record the deposit by cheque.</t>
  </si>
  <si>
    <t>Cheque; 240,000; date T; reference CHQ-000123</t>
  </si>
  <si>
    <t>Sale SL-00005 Reserved; deposit Paid.</t>
  </si>
  <si>
    <t>I-03</t>
  </si>
  <si>
    <t>Cancel blocked</t>
  </si>
  <si>
    <t>Try Cancel sale on SL-00005.</t>
  </si>
  <si>
    <t>No Cancel button (money is held). The sale must be cleared first.</t>
  </si>
  <si>
    <t>I-04</t>
  </si>
  <si>
    <t>Reverse</t>
  </si>
  <si>
    <t>Reverse the cheque payment.</t>
  </si>
  <si>
    <t>Reason: Cheque bounced</t>
  </si>
  <si>
    <t>Payment struck through, 'Reversed: Cheque bounced'; paid back to 0; the deposit shows Due again.</t>
  </si>
  <si>
    <t>I-05</t>
  </si>
  <si>
    <t>Cancel</t>
  </si>
  <si>
    <t>Now cancel SL-00005.</t>
  </si>
  <si>
    <t>Reason: Cheque bounced, buyer withdrew</t>
  </si>
  <si>
    <t>Cancelled; Plot 4 Available.</t>
  </si>
  <si>
    <t>J-01</t>
  </si>
  <si>
    <t>Sales list</t>
  </si>
  <si>
    <t>Open Sales (view: All).</t>
  </si>
  <si>
    <t>SL-00001 Completed, SL-00002 Active (160,000 overdue), SL-00003 Reserved, SL-00004 and SL-00005 Cancelled. Totals: Sold 2,400,000 (2 sales, 1 reserved); Collected 2,060,000; Still to collect 1,840,000; Overdue 160,000 (1 sale).</t>
  </si>
  <si>
    <t>Project margins</t>
  </si>
  <si>
    <t>Costs and margins &gt; Kitengela Gardens Phase 1 &gt; Margins.</t>
  </si>
  <si>
    <t>Sales box: sold or reserved 3 of 16, 3,900,000; collected 2,060,000; unsold 13 units, 16,500,000. Projected revenue 20,400,000; margin 7,290,000 (35.7%). Break-even: 'Sell 8 more units'.</t>
  </si>
  <si>
    <t>J-03</t>
  </si>
  <si>
    <t>Units after sales</t>
  </si>
  <si>
    <t>Units table: Plot 1, 2, 3, 13.</t>
  </si>
  <si>
    <t>Plot 1 'sold to Mercy Chebet', margin 384,375. Plot 2 'sold to Peter Otieno'. Plot 3 'asking price' (back on sale). Plot 13 'sold to Baraka Investments Ltd'. Each shows 'View sale'.</t>
  </si>
  <si>
    <t>J-04</t>
  </si>
  <si>
    <t>Properties: units used.</t>
  </si>
  <si>
    <t>Plots 1 and 2 (Sold) no longer count towards the plan limit.</t>
  </si>
  <si>
    <t>K-01</t>
  </si>
  <si>
    <t>Listing</t>
  </si>
  <si>
    <t>Marketplace &gt; Listings &gt; New listing: For sale, Plot 5. Save draft. Upload 2 JPG photos; make the second the cover. Publish.</t>
  </si>
  <si>
    <t>Title suggested '450sqm plot in Namanga Road for sale' (edit if you like); price 1,200,000. Status Live.</t>
  </si>
  <si>
    <t>K-02</t>
  </si>
  <si>
    <t>Public page</t>
  </si>
  <si>
    <t>Sign out. Open /marketplace &gt; Buy. Open the Plot 5 listing.</t>
  </si>
  <si>
    <t>Listed with the chosen cover photo; gallery shows both; 'More at Kitengela Gardens Phase 1' empty unless other plots are listed.</t>
  </si>
  <si>
    <t>K-03</t>
  </si>
  <si>
    <t>Enquiry</t>
  </si>
  <si>
    <t>Send an enquiry with your own email; tick consent. Click the confirmation link in the email.</t>
  </si>
  <si>
    <t>Name: Lead Tester; phone 0700 111 222</t>
  </si>
  <si>
    <t>'Check your email', then 'enquiry confirmed'.</t>
  </si>
  <si>
    <t>K-04</t>
  </si>
  <si>
    <t>Lead</t>
  </si>
  <si>
    <t>Sign in as owner (Tujenge). Bell icon; Marketplace &gt; Leads; Account &gt; Credits.</t>
  </si>
  <si>
    <t>Bell shows 'New lead: Lead Tester'. Lead unlocked with phone/WhatsApp/email. Credits: B0 minus 10 (plus any earlier PDF use).</t>
  </si>
  <si>
    <t>K-05</t>
  </si>
  <si>
    <t>Work the lead</t>
  </si>
  <si>
    <t>Set the lead's stage to Contacted with a note.</t>
  </si>
  <si>
    <t>Note: Site visit Saturday</t>
  </si>
  <si>
    <t>K-06</t>
  </si>
  <si>
    <t>Auto-hide</t>
  </si>
  <si>
    <t>Add buyer 'Lead Tester'. New sale for Plot 5 (full payment, sale date T); don't pay. Check Listings and /marketplace.</t>
  </si>
  <si>
    <t>Plot 5 Reserved. Listing shows 'Unit not available'; the public page says no longer available; gone from search.</t>
  </si>
  <si>
    <t>K-07</t>
  </si>
  <si>
    <t>Reappear</t>
  </si>
  <si>
    <t>Cancel that sale. Check /marketplace again.</t>
  </si>
  <si>
    <t>Reason: Testing auto-hide</t>
  </si>
  <si>
    <t>Plot 5 Available; the listing is back on the public site automatically.</t>
  </si>
  <si>
    <t>L-01</t>
  </si>
  <si>
    <t>Sales reports</t>
  </si>
  <si>
    <t>Sales &gt; Reports.</t>
  </si>
  <si>
    <t>Stock: Kitengela Gardens Phase 1, 16 units, 13 available, 1 reserved, 2 sold (12%), unsold value 16,500,000. Overdue: Peter Otieno, 1-30 days column 160,000. Pipeline: Plot 13, Baraka, paid 300,000. Sold: Plot 1 paid in full, Plot 2 640,000 to pay.</t>
  </si>
  <si>
    <t>L-02</t>
  </si>
  <si>
    <t>Buyer statement</t>
  </si>
  <si>
    <t>Open SL-00002 &gt; Buyer statement (PDF).</t>
  </si>
  <si>
    <t>PDF with logo: schedule (deposit and instalments 1-2 Paid, 3 Overdue, 4-6 Due), payments 240,000 + 160,000 + 160,000, balance 640,000, overdue 160,000. Credits down 2.</t>
  </si>
  <si>
    <t>L-03</t>
  </si>
  <si>
    <t>Dashboard</t>
  </si>
  <si>
    <t>Open Dashboard.</t>
  </si>
  <si>
    <t>Sales panel: collected this month at least 1,500,000 (Mercy and Baraka; plus any of Peter's payments dated this month); still to collect 1,840,000; overdue 160,000 (1 buyer); reserved 1.</t>
  </si>
  <si>
    <t>L-04</t>
  </si>
  <si>
    <t>Buyer page</t>
  </si>
  <si>
    <t>Sales &gt; Buyers &gt; Peter Otieno.</t>
  </si>
  <si>
    <t>Shows his sale with balance 640,000 and the overdue amount.</t>
  </si>
  <si>
    <t>M-01</t>
  </si>
  <si>
    <t>Future sale date</t>
  </si>
  <si>
    <t>New sale with a sale date tomorrow.</t>
  </si>
  <si>
    <t>Any available plot</t>
  </si>
  <si>
    <t>Refused: the sale date can't be in the future.</t>
  </si>
  <si>
    <t>M-02</t>
  </si>
  <si>
    <t>Deposit too high</t>
  </si>
  <si>
    <t>New sale, instalments, deposit equal to the price.</t>
  </si>
  <si>
    <t>Deposit 1,200,000</t>
  </si>
  <si>
    <t>Refused: use Full payment instead.</t>
  </si>
  <si>
    <t>M-03</t>
  </si>
  <si>
    <t>First instalment on sale day</t>
  </si>
  <si>
    <t>New sale, first instalment date = sale date.</t>
  </si>
  <si>
    <t>Refused: the first instalment must fall after the sale date.</t>
  </si>
  <si>
    <t>M-04</t>
  </si>
  <si>
    <t>Overpayment</t>
  </si>
  <si>
    <t>On SL-00002 record more than the balance.</t>
  </si>
  <si>
    <t>700,000</t>
  </si>
  <si>
    <t>Refused: more than the balance of 640,000.</t>
  </si>
  <si>
    <t>M-05</t>
  </si>
  <si>
    <t>Duplicate M-PESA code</t>
  </si>
  <si>
    <t>On SL-00003 record a payment reusing Peter's code.</t>
  </si>
  <si>
    <t>SKA1B2C3D4</t>
  </si>
  <si>
    <t>Refused: reference already recorded.</t>
  </si>
  <si>
    <t>M-06</t>
  </si>
  <si>
    <t>Second sale on a plot</t>
  </si>
  <si>
    <t>New sale: is Plot 13 offered?</t>
  </si>
  <si>
    <t>Plot 13 isn't in the list (it has a live sale).</t>
  </si>
  <si>
    <t>M-07</t>
  </si>
  <si>
    <t>Manual status change</t>
  </si>
  <si>
    <t>Plot 13's unit page: try to make it Available.</t>
  </si>
  <si>
    <t>Refused: the status follows its sale.</t>
  </si>
  <si>
    <t>M-08</t>
  </si>
  <si>
    <t>Future actual cost</t>
  </si>
  <si>
    <t>Add an actual cost dated tomorrow.</t>
  </si>
  <si>
    <t>Any amount</t>
  </si>
  <si>
    <t>Refused: record it as a budget instead.</t>
  </si>
  <si>
    <t>M-09</t>
  </si>
  <si>
    <t>Delete a sold plot</t>
  </si>
  <si>
    <t>Try to delete Plot 1.</t>
  </si>
  <si>
    <t>Refused: it has sale history (mark it inactive instead).</t>
  </si>
  <si>
    <t>Defect ID</t>
  </si>
  <si>
    <t>Test ID</t>
  </si>
  <si>
    <t>Severity</t>
  </si>
  <si>
    <t>What happened</t>
  </si>
  <si>
    <t>Steps to reproduce</t>
  </si>
  <si>
    <t>Fixed in (zip / date)</t>
  </si>
  <si>
    <t>EXAMPLE</t>
  </si>
  <si>
    <t>High</t>
  </si>
  <si>
    <t>Peter's paid figure showed 400,000 instead of 560,000.</t>
  </si>
  <si>
    <t>Tujenge &gt; Sales &gt; SL-00002 after recording the three payments in G-03 and G-04</t>
  </si>
  <si>
    <t>Paid 560,000 (47%); balance 640,000; overdue 160,000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</si>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</sst>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dd\-mmm\-yyyy"/>
  </numFmts>
  <fonts count="10" x14ac:knownFonts="1">
    <font>
      <sz val="11"/>
      <color theme="1"/>
      <name val="Calibri"/>
      <family val="2"/>
      <charset val="1"/>
    </font>
    <font>
      <b/>
      <sz val="16"/>
      <color rgb="FF0B2A4A"/>
      <name val="Arial"/>
      <charset val="1"/>
    </font>
    <font>
      <sz val="10"/>
      <color rgb="FF657489"/>
      <name val="Arial"/>
      <charset val="1"/>
    </font>
    <font>
      <b/>
      <sz val="12"/>
      <color rgb="FF0B2A4A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0B2A4A"/>
      <name val="Arial"/>
      <charset val="1"/>
    </font>
    <font>
      <b/>
      <sz val="10"/>
      <color rgb="FFFFFFFF"/>
      <name val="Arial"/>
      <charset val="1"/>
    </font>
    <font>
      <b/>
      <sz val="10"/>
      <color rgb="FFA1281B"/>
      <name val="Arial"/>
      <charset val="1"/>
    </font>
    <font>
      <i/>
      <sz val="10"/>
      <color rgb="FF8A94A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8E1"/>
        <bgColor rgb="FFFFF1D8"/>
      </patternFill>
    </fill>
    <fill>
      <patternFill patternType="solid">
        <fgColor rgb="FF0B2A4A"/>
        <bgColor rgb="FF333333"/>
      </patternFill>
    </fill>
    <fill>
      <patternFill patternType="solid">
        <fgColor rgb="FFE8F0FB"/>
        <bgColor rgb="FFF5F8FD"/>
      </patternFill>
    </fill>
    <fill>
      <patternFill patternType="solid">
        <fgColor rgb="FFFFFFFF"/>
        <bgColor rgb="FFF5F8FD"/>
      </patternFill>
    </fill>
    <fill>
      <patternFill patternType="solid">
        <fgColor rgb="FFF5F8FD"/>
        <bgColor rgb="FFFFFFFF"/>
      </patternFill>
    </fill>
  </fills>
  <borders count="2">
    <border>
      <left/>
      <right/>
      <top/>
      <bottom/>
      <diagonal/>
    </border>
    <border>
      <left style="thin">
        <color rgb="FFDFE5EE"/>
      </left>
      <right style="thin">
        <color rgb="FFDFE5EE"/>
      </right>
      <top style="thin">
        <color rgb="FFDFE5EE"/>
      </top>
      <bottom style="thin">
        <color rgb="FFDFE5E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4" fillId="2" borderId="0" xfId="0" applyFont="1" applyFill="1"/>
    <xf numFmtId="0" fontId="6" fillId="0" borderId="0" xfId="0" applyFont="1"/>
    <xf numFmtId="0" fontId="2" fillId="0" borderId="0" xfId="0" applyFont="1"/>
    <xf numFmtId="0" fontId="7" fillId="3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9" fontId="4" fillId="4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7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4" fillId="0" borderId="1" xfId="0" applyFont="1" applyBorder="1"/>
    <xf numFmtId="3" fontId="4" fillId="0" borderId="1" xfId="0" applyNumberFormat="1" applyFont="1" applyBorder="1"/>
    <xf numFmtId="3" fontId="5" fillId="0" borderId="1" xfId="0" applyNumberFormat="1" applyFont="1" applyBorder="1"/>
    <xf numFmtId="3" fontId="5" fillId="0" borderId="1" xfId="0" applyNumberFormat="1" applyFont="1" applyBorder="1" applyAlignment="1">
      <alignment vertical="top" wrapText="1"/>
    </xf>
    <xf numFmtId="4" fontId="5" fillId="0" borderId="1" xfId="0" applyNumberFormat="1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165" fontId="5" fillId="2" borderId="1" xfId="0" applyNumberFormat="1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8A5A07"/>
        <name val="Arial"/>
        <charset val="1"/>
      </font>
      <fill>
        <patternFill>
          <bgColor rgb="FFFFF1D8"/>
        </patternFill>
      </fill>
    </dxf>
    <dxf>
      <font>
        <b/>
        <color rgb="FFA1281B"/>
        <name val="Arial"/>
        <charset val="1"/>
      </font>
      <fill>
        <patternFill>
          <bgColor rgb="FFFDE2DE"/>
        </patternFill>
      </fill>
    </dxf>
    <dxf>
      <font>
        <b/>
        <color rgb="FF1F6B43"/>
        <name val="Arial"/>
        <charset val="1"/>
      </font>
      <fill>
        <patternFill>
          <bgColor rgb="FFD9F2E3"/>
        </patternFill>
      </fill>
    </dxf>
    <dxf>
      <font>
        <b/>
        <color rgb="FFA1281B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7"/>
      <rgbColor rgb="FF800080"/>
      <rgbColor rgb="FF1F6B43"/>
      <rgbColor rgb="FFC0C0C0"/>
      <rgbColor rgb="FF808080"/>
      <rgbColor rgb="FF9999FF"/>
      <rgbColor rgb="FF993366"/>
      <rgbColor rgb="FFFFF8E1"/>
      <rgbColor rgb="FFE8F0FB"/>
      <rgbColor rgb="FF660066"/>
      <rgbColor rgb="FFFF8080"/>
      <rgbColor rgb="FF0066CC"/>
      <rgbColor rgb="FFDFE5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D"/>
      <rgbColor rgb="FFD9F2E3"/>
      <rgbColor rgb="FFFFF1D8"/>
      <rgbColor rgb="FF99CCFF"/>
      <rgbColor rgb="FFFF99CC"/>
      <rgbColor rgb="FFCC99FF"/>
      <rgbColor rgb="FFFDE2DE"/>
      <rgbColor rgb="FF3366FF"/>
      <rgbColor rgb="FF33CCCC"/>
      <rgbColor rgb="FF99CC00"/>
      <rgbColor rgb="FFFFCC00"/>
      <rgbColor rgb="FFFF9900"/>
      <rgbColor rgb="FFFF6600"/>
      <rgbColor rgb="FF657489"/>
      <rgbColor rgb="FF8A94A6"/>
      <rgbColor rgb="FF0B2A4A"/>
      <rgbColor rgb="FF339966"/>
      <rgbColor rgb="FF003300"/>
      <rgbColor rgb="FF333300"/>
      <rgbColor rgb="FFA1281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topLeftCell="A10" zoomScaleNormal="100" workbookViewId="0">
      <selection sqref="A1:XFD1048576"/>
    </sheetView>
  </sheetViews>
  <sheetFormatPr defaultColWidth="8.7109375" defaultRowHeight="15" x14ac:dyDescent="0.25"/>
  <cols>
    <col min="1" max="1" width="3" customWidth="1"/>
    <col min="2" max="2" width="28.5703125" bestFit="1" customWidth="1"/>
    <col min="3" max="3" width="201.140625" bestFit="1" customWidth="1"/>
  </cols>
  <sheetData>
    <row r="2" spans="2:3" ht="81" x14ac:dyDescent="0.25">
      <c r="B2" s="1" t="s">
        <v>0</v>
      </c>
    </row>
    <row r="3" spans="2:3" ht="76.5" x14ac:dyDescent="0.25">
      <c r="B3" s="2" t="s">
        <v>1</v>
      </c>
    </row>
    <row r="5" spans="2:3" ht="15.75" x14ac:dyDescent="0.25">
      <c r="B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4" t="s">
        <v>5</v>
      </c>
      <c r="C7" s="5" t="s">
        <v>6</v>
      </c>
    </row>
    <row r="8" spans="2:3" x14ac:dyDescent="0.25">
      <c r="B8" s="4" t="s">
        <v>7</v>
      </c>
      <c r="C8" s="5" t="s">
        <v>8</v>
      </c>
    </row>
    <row r="10" spans="2:3" ht="15.75" x14ac:dyDescent="0.25">
      <c r="B10" s="3" t="s">
        <v>9</v>
      </c>
    </row>
    <row r="11" spans="2:3" x14ac:dyDescent="0.25">
      <c r="B11" s="4" t="s">
        <v>10</v>
      </c>
      <c r="C11" s="5" t="s">
        <v>11</v>
      </c>
    </row>
    <row r="12" spans="2:3" x14ac:dyDescent="0.25">
      <c r="B12" s="4" t="s">
        <v>12</v>
      </c>
      <c r="C12" s="5" t="s">
        <v>13</v>
      </c>
    </row>
    <row r="13" spans="2:3" x14ac:dyDescent="0.25">
      <c r="B13" s="4" t="s">
        <v>14</v>
      </c>
      <c r="C13" s="5" t="s">
        <v>15</v>
      </c>
    </row>
    <row r="14" spans="2:3" x14ac:dyDescent="0.25">
      <c r="B14" s="4" t="s">
        <v>16</v>
      </c>
      <c r="C14" s="5" t="s">
        <v>17</v>
      </c>
    </row>
    <row r="16" spans="2:3" ht="15.75" x14ac:dyDescent="0.25">
      <c r="B16" s="3" t="s">
        <v>18</v>
      </c>
    </row>
    <row r="17" spans="2:3" x14ac:dyDescent="0.25">
      <c r="B17" s="6" t="s">
        <v>19</v>
      </c>
      <c r="C17" s="5" t="s">
        <v>20</v>
      </c>
    </row>
    <row r="18" spans="2:3" x14ac:dyDescent="0.25">
      <c r="B18" s="4" t="s">
        <v>21</v>
      </c>
      <c r="C18" s="5" t="s">
        <v>22</v>
      </c>
    </row>
    <row r="19" spans="2:3" x14ac:dyDescent="0.25">
      <c r="B19" s="4" t="s">
        <v>23</v>
      </c>
      <c r="C19" s="5" t="s">
        <v>24</v>
      </c>
    </row>
    <row r="20" spans="2:3" x14ac:dyDescent="0.25">
      <c r="B20" s="4" t="s">
        <v>25</v>
      </c>
      <c r="C20" s="5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0" customWidth="1"/>
    <col min="3" max="9" width="11" customWidth="1"/>
  </cols>
  <sheetData>
    <row r="2" spans="2:9" ht="18" x14ac:dyDescent="0.25">
      <c r="B2" s="7" t="s">
        <v>27</v>
      </c>
    </row>
    <row r="3" spans="2:9" x14ac:dyDescent="0.25">
      <c r="B3" s="8" t="s">
        <v>28</v>
      </c>
    </row>
    <row r="5" spans="2:9" x14ac:dyDescent="0.25">
      <c r="B5" s="9" t="s">
        <v>29</v>
      </c>
      <c r="C5" s="9" t="s">
        <v>30</v>
      </c>
      <c r="D5" s="9" t="s">
        <v>31</v>
      </c>
      <c r="E5" s="9" t="s">
        <v>23</v>
      </c>
      <c r="F5" s="9" t="s">
        <v>32</v>
      </c>
      <c r="G5" s="9" t="s">
        <v>33</v>
      </c>
      <c r="H5" s="9" t="s">
        <v>34</v>
      </c>
      <c r="I5" s="9" t="s">
        <v>35</v>
      </c>
    </row>
    <row r="6" spans="2:9" x14ac:dyDescent="0.25">
      <c r="B6" s="10" t="s">
        <v>36</v>
      </c>
      <c r="C6" s="11">
        <f>COUNTIF('Test script'!$B$2:$B$71,B6)</f>
        <v>3</v>
      </c>
      <c r="D6" s="11">
        <f>COUNTIFS('Test script'!$B$2:$B$71,$B6,'Test script'!$G$2:$G$71,"Pass")</f>
        <v>0</v>
      </c>
      <c r="E6" s="11">
        <f>COUNTIFS('Test script'!$B$2:$B$71,$B6,'Test script'!$G$2:$G$71,"Fail")</f>
        <v>0</v>
      </c>
      <c r="F6" s="11">
        <f>COUNTIFS('Test script'!$B$2:$B$71,$B6,'Test script'!$G$2:$G$71,"Blocked")</f>
        <v>0</v>
      </c>
      <c r="G6" s="11">
        <f>COUNTIFS('Test script'!$B$2:$B$71,$B6,'Test script'!$G$2:$G$71,"Not run")</f>
        <v>3</v>
      </c>
      <c r="H6" s="11">
        <f t="shared" ref="H6:H18" si="0">C6-G6</f>
        <v>0</v>
      </c>
      <c r="I6" s="12" t="str">
        <f t="shared" ref="I6:I19" si="1">IF(H6=0,"-",D6/H6)</f>
        <v>-</v>
      </c>
    </row>
    <row r="7" spans="2:9" x14ac:dyDescent="0.25">
      <c r="B7" s="10" t="s">
        <v>37</v>
      </c>
      <c r="C7" s="11">
        <f>COUNTIF('Test script'!$B$2:$B$71,B7)</f>
        <v>5</v>
      </c>
      <c r="D7" s="11">
        <f>COUNTIFS('Test script'!$B$2:$B$71,$B7,'Test script'!$G$2:$G$71,"Pass")</f>
        <v>0</v>
      </c>
      <c r="E7" s="11">
        <f>COUNTIFS('Test script'!$B$2:$B$71,$B7,'Test script'!$G$2:$G$71,"Fail")</f>
        <v>0</v>
      </c>
      <c r="F7" s="11">
        <f>COUNTIFS('Test script'!$B$2:$B$71,$B7,'Test script'!$G$2:$G$71,"Blocked")</f>
        <v>0</v>
      </c>
      <c r="G7" s="11">
        <f>COUNTIFS('Test script'!$B$2:$B$71,$B7,'Test script'!$G$2:$G$71,"Not run")</f>
        <v>5</v>
      </c>
      <c r="H7" s="11">
        <f t="shared" si="0"/>
        <v>0</v>
      </c>
      <c r="I7" s="12" t="str">
        <f t="shared" si="1"/>
        <v>-</v>
      </c>
    </row>
    <row r="8" spans="2:9" x14ac:dyDescent="0.25">
      <c r="B8" s="10" t="s">
        <v>38</v>
      </c>
      <c r="C8" s="11">
        <f>COUNTIF('Test script'!$B$2:$B$71,B8)</f>
        <v>6</v>
      </c>
      <c r="D8" s="11">
        <f>COUNTIFS('Test script'!$B$2:$B$71,$B8,'Test script'!$G$2:$G$71,"Pass")</f>
        <v>0</v>
      </c>
      <c r="E8" s="11">
        <f>COUNTIFS('Test script'!$B$2:$B$71,$B8,'Test script'!$G$2:$G$71,"Fail")</f>
        <v>0</v>
      </c>
      <c r="F8" s="11">
        <f>COUNTIFS('Test script'!$B$2:$B$71,$B8,'Test script'!$G$2:$G$71,"Blocked")</f>
        <v>0</v>
      </c>
      <c r="G8" s="11">
        <f>COUNTIFS('Test script'!$B$2:$B$71,$B8,'Test script'!$G$2:$G$71,"Not run")</f>
        <v>6</v>
      </c>
      <c r="H8" s="11">
        <f t="shared" si="0"/>
        <v>0</v>
      </c>
      <c r="I8" s="12" t="str">
        <f t="shared" si="1"/>
        <v>-</v>
      </c>
    </row>
    <row r="9" spans="2:9" x14ac:dyDescent="0.25">
      <c r="B9" s="10" t="s">
        <v>39</v>
      </c>
      <c r="C9" s="11">
        <f>COUNTIF('Test script'!$B$2:$B$71,B9)</f>
        <v>6</v>
      </c>
      <c r="D9" s="11">
        <f>COUNTIFS('Test script'!$B$2:$B$71,$B9,'Test script'!$G$2:$G$71,"Pass")</f>
        <v>0</v>
      </c>
      <c r="E9" s="11">
        <f>COUNTIFS('Test script'!$B$2:$B$71,$B9,'Test script'!$G$2:$G$71,"Fail")</f>
        <v>0</v>
      </c>
      <c r="F9" s="11">
        <f>COUNTIFS('Test script'!$B$2:$B$71,$B9,'Test script'!$G$2:$G$71,"Blocked")</f>
        <v>0</v>
      </c>
      <c r="G9" s="11">
        <f>COUNTIFS('Test script'!$B$2:$B$71,$B9,'Test script'!$G$2:$G$71,"Not run")</f>
        <v>6</v>
      </c>
      <c r="H9" s="11">
        <f t="shared" si="0"/>
        <v>0</v>
      </c>
      <c r="I9" s="12" t="str">
        <f t="shared" si="1"/>
        <v>-</v>
      </c>
    </row>
    <row r="10" spans="2:9" x14ac:dyDescent="0.25">
      <c r="B10" s="10" t="s">
        <v>40</v>
      </c>
      <c r="C10" s="11">
        <f>COUNTIF('Test script'!$B$2:$B$71,B10)</f>
        <v>6</v>
      </c>
      <c r="D10" s="11">
        <f>COUNTIFS('Test script'!$B$2:$B$71,$B10,'Test script'!$G$2:$G$71,"Pass")</f>
        <v>0</v>
      </c>
      <c r="E10" s="11">
        <f>COUNTIFS('Test script'!$B$2:$B$71,$B10,'Test script'!$G$2:$G$71,"Fail")</f>
        <v>0</v>
      </c>
      <c r="F10" s="11">
        <f>COUNTIFS('Test script'!$B$2:$B$71,$B10,'Test script'!$G$2:$G$71,"Blocked")</f>
        <v>0</v>
      </c>
      <c r="G10" s="11">
        <f>COUNTIFS('Test script'!$B$2:$B$71,$B10,'Test script'!$G$2:$G$71,"Not run")</f>
        <v>6</v>
      </c>
      <c r="H10" s="11">
        <f t="shared" si="0"/>
        <v>0</v>
      </c>
      <c r="I10" s="12" t="str">
        <f t="shared" si="1"/>
        <v>-</v>
      </c>
    </row>
    <row r="11" spans="2:9" x14ac:dyDescent="0.25">
      <c r="B11" s="10" t="s">
        <v>41</v>
      </c>
      <c r="C11" s="11">
        <f>COUNTIF('Test script'!$B$2:$B$71,B11)</f>
        <v>6</v>
      </c>
      <c r="D11" s="11">
        <f>COUNTIFS('Test script'!$B$2:$B$71,$B11,'Test script'!$G$2:$G$71,"Pass")</f>
        <v>0</v>
      </c>
      <c r="E11" s="11">
        <f>COUNTIFS('Test script'!$B$2:$B$71,$B11,'Test script'!$G$2:$G$71,"Fail")</f>
        <v>0</v>
      </c>
      <c r="F11" s="11">
        <f>COUNTIFS('Test script'!$B$2:$B$71,$B11,'Test script'!$G$2:$G$71,"Blocked")</f>
        <v>0</v>
      </c>
      <c r="G11" s="11">
        <f>COUNTIFS('Test script'!$B$2:$B$71,$B11,'Test script'!$G$2:$G$71,"Not run")</f>
        <v>6</v>
      </c>
      <c r="H11" s="11">
        <f t="shared" si="0"/>
        <v>0</v>
      </c>
      <c r="I11" s="12" t="str">
        <f t="shared" si="1"/>
        <v>-</v>
      </c>
    </row>
    <row r="12" spans="2:9" x14ac:dyDescent="0.25">
      <c r="B12" s="10" t="s">
        <v>42</v>
      </c>
      <c r="C12" s="11">
        <f>COUNTIF('Test script'!$B$2:$B$71,B12)</f>
        <v>6</v>
      </c>
      <c r="D12" s="11">
        <f>COUNTIFS('Test script'!$B$2:$B$71,$B12,'Test script'!$G$2:$G$71,"Pass")</f>
        <v>0</v>
      </c>
      <c r="E12" s="11">
        <f>COUNTIFS('Test script'!$B$2:$B$71,$B12,'Test script'!$G$2:$G$71,"Fail")</f>
        <v>0</v>
      </c>
      <c r="F12" s="11">
        <f>COUNTIFS('Test script'!$B$2:$B$71,$B12,'Test script'!$G$2:$G$71,"Blocked")</f>
        <v>0</v>
      </c>
      <c r="G12" s="11">
        <f>COUNTIFS('Test script'!$B$2:$B$71,$B12,'Test script'!$G$2:$G$71,"Not run")</f>
        <v>6</v>
      </c>
      <c r="H12" s="11">
        <f t="shared" si="0"/>
        <v>0</v>
      </c>
      <c r="I12" s="12" t="str">
        <f t="shared" si="1"/>
        <v>-</v>
      </c>
    </row>
    <row r="13" spans="2:9" x14ac:dyDescent="0.25">
      <c r="B13" s="10" t="s">
        <v>43</v>
      </c>
      <c r="C13" s="11">
        <f>COUNTIF('Test script'!$B$2:$B$71,B13)</f>
        <v>3</v>
      </c>
      <c r="D13" s="11">
        <f>COUNTIFS('Test script'!$B$2:$B$71,$B13,'Test script'!$G$2:$G$71,"Pass")</f>
        <v>0</v>
      </c>
      <c r="E13" s="11">
        <f>COUNTIFS('Test script'!$B$2:$B$71,$B13,'Test script'!$G$2:$G$71,"Fail")</f>
        <v>0</v>
      </c>
      <c r="F13" s="11">
        <f>COUNTIFS('Test script'!$B$2:$B$71,$B13,'Test script'!$G$2:$G$71,"Blocked")</f>
        <v>0</v>
      </c>
      <c r="G13" s="11">
        <f>COUNTIFS('Test script'!$B$2:$B$71,$B13,'Test script'!$G$2:$G$71,"Not run")</f>
        <v>3</v>
      </c>
      <c r="H13" s="11">
        <f t="shared" si="0"/>
        <v>0</v>
      </c>
      <c r="I13" s="12" t="str">
        <f t="shared" si="1"/>
        <v>-</v>
      </c>
    </row>
    <row r="14" spans="2:9" x14ac:dyDescent="0.25">
      <c r="B14" s="10" t="s">
        <v>44</v>
      </c>
      <c r="C14" s="11">
        <f>COUNTIF('Test script'!$B$2:$B$71,B14)</f>
        <v>5</v>
      </c>
      <c r="D14" s="11">
        <f>COUNTIFS('Test script'!$B$2:$B$71,$B14,'Test script'!$G$2:$G$71,"Pass")</f>
        <v>0</v>
      </c>
      <c r="E14" s="11">
        <f>COUNTIFS('Test script'!$B$2:$B$71,$B14,'Test script'!$G$2:$G$71,"Fail")</f>
        <v>0</v>
      </c>
      <c r="F14" s="11">
        <f>COUNTIFS('Test script'!$B$2:$B$71,$B14,'Test script'!$G$2:$G$71,"Blocked")</f>
        <v>0</v>
      </c>
      <c r="G14" s="11">
        <f>COUNTIFS('Test script'!$B$2:$B$71,$B14,'Test script'!$G$2:$G$71,"Not run")</f>
        <v>5</v>
      </c>
      <c r="H14" s="11">
        <f t="shared" si="0"/>
        <v>0</v>
      </c>
      <c r="I14" s="12" t="str">
        <f t="shared" si="1"/>
        <v>-</v>
      </c>
    </row>
    <row r="15" spans="2:9" x14ac:dyDescent="0.25">
      <c r="B15" s="10" t="s">
        <v>45</v>
      </c>
      <c r="C15" s="11">
        <f>COUNTIF('Test script'!$B$2:$B$71,B15)</f>
        <v>4</v>
      </c>
      <c r="D15" s="11">
        <f>COUNTIFS('Test script'!$B$2:$B$71,$B15,'Test script'!$G$2:$G$71,"Pass")</f>
        <v>0</v>
      </c>
      <c r="E15" s="11">
        <f>COUNTIFS('Test script'!$B$2:$B$71,$B15,'Test script'!$G$2:$G$71,"Fail")</f>
        <v>0</v>
      </c>
      <c r="F15" s="11">
        <f>COUNTIFS('Test script'!$B$2:$B$71,$B15,'Test script'!$G$2:$G$71,"Blocked")</f>
        <v>0</v>
      </c>
      <c r="G15" s="11">
        <f>COUNTIFS('Test script'!$B$2:$B$71,$B15,'Test script'!$G$2:$G$71,"Not run")</f>
        <v>4</v>
      </c>
      <c r="H15" s="11">
        <f t="shared" si="0"/>
        <v>0</v>
      </c>
      <c r="I15" s="12" t="str">
        <f t="shared" si="1"/>
        <v>-</v>
      </c>
    </row>
    <row r="16" spans="2:9" x14ac:dyDescent="0.25">
      <c r="B16" s="10" t="s">
        <v>46</v>
      </c>
      <c r="C16" s="11">
        <f>COUNTIF('Test script'!$B$2:$B$71,B16)</f>
        <v>7</v>
      </c>
      <c r="D16" s="11">
        <f>COUNTIFS('Test script'!$B$2:$B$71,$B16,'Test script'!$G$2:$G$71,"Pass")</f>
        <v>0</v>
      </c>
      <c r="E16" s="11">
        <f>COUNTIFS('Test script'!$B$2:$B$71,$B16,'Test script'!$G$2:$G$71,"Fail")</f>
        <v>0</v>
      </c>
      <c r="F16" s="11">
        <f>COUNTIFS('Test script'!$B$2:$B$71,$B16,'Test script'!$G$2:$G$71,"Blocked")</f>
        <v>0</v>
      </c>
      <c r="G16" s="11">
        <f>COUNTIFS('Test script'!$B$2:$B$71,$B16,'Test script'!$G$2:$G$71,"Not run")</f>
        <v>7</v>
      </c>
      <c r="H16" s="11">
        <f t="shared" si="0"/>
        <v>0</v>
      </c>
      <c r="I16" s="12" t="str">
        <f t="shared" si="1"/>
        <v>-</v>
      </c>
    </row>
    <row r="17" spans="2:9" x14ac:dyDescent="0.25">
      <c r="B17" s="10" t="s">
        <v>47</v>
      </c>
      <c r="C17" s="11">
        <f>COUNTIF('Test script'!$B$2:$B$71,B17)</f>
        <v>4</v>
      </c>
      <c r="D17" s="11">
        <f>COUNTIFS('Test script'!$B$2:$B$71,$B17,'Test script'!$G$2:$G$71,"Pass")</f>
        <v>0</v>
      </c>
      <c r="E17" s="11">
        <f>COUNTIFS('Test script'!$B$2:$B$71,$B17,'Test script'!$G$2:$G$71,"Fail")</f>
        <v>0</v>
      </c>
      <c r="F17" s="11">
        <f>COUNTIFS('Test script'!$B$2:$B$71,$B17,'Test script'!$G$2:$G$71,"Blocked")</f>
        <v>0</v>
      </c>
      <c r="G17" s="11">
        <f>COUNTIFS('Test script'!$B$2:$B$71,$B17,'Test script'!$G$2:$G$71,"Not run")</f>
        <v>4</v>
      </c>
      <c r="H17" s="11">
        <f t="shared" si="0"/>
        <v>0</v>
      </c>
      <c r="I17" s="12" t="str">
        <f t="shared" si="1"/>
        <v>-</v>
      </c>
    </row>
    <row r="18" spans="2:9" x14ac:dyDescent="0.25">
      <c r="B18" s="10" t="s">
        <v>48</v>
      </c>
      <c r="C18" s="11">
        <f>COUNTIF('Test script'!$B$2:$B$71,B18)</f>
        <v>9</v>
      </c>
      <c r="D18" s="11">
        <f>COUNTIFS('Test script'!$B$2:$B$71,$B18,'Test script'!$G$2:$G$71,"Pass")</f>
        <v>0</v>
      </c>
      <c r="E18" s="11">
        <f>COUNTIFS('Test script'!$B$2:$B$71,$B18,'Test script'!$G$2:$G$71,"Fail")</f>
        <v>0</v>
      </c>
      <c r="F18" s="11">
        <f>COUNTIFS('Test script'!$B$2:$B$71,$B18,'Test script'!$G$2:$G$71,"Blocked")</f>
        <v>0</v>
      </c>
      <c r="G18" s="11">
        <f>COUNTIFS('Test script'!$B$2:$B$71,$B18,'Test script'!$G$2:$G$71,"Not run")</f>
        <v>9</v>
      </c>
      <c r="H18" s="11">
        <f t="shared" si="0"/>
        <v>0</v>
      </c>
      <c r="I18" s="12" t="str">
        <f t="shared" si="1"/>
        <v>-</v>
      </c>
    </row>
    <row r="19" spans="2:9" x14ac:dyDescent="0.25">
      <c r="B19" s="13" t="s">
        <v>49</v>
      </c>
      <c r="C19" s="14">
        <f t="shared" ref="C19:H19" si="2">SUM(C6:C18)</f>
        <v>70</v>
      </c>
      <c r="D19" s="14">
        <f t="shared" si="2"/>
        <v>0</v>
      </c>
      <c r="E19" s="14">
        <f t="shared" si="2"/>
        <v>0</v>
      </c>
      <c r="F19" s="14">
        <f t="shared" si="2"/>
        <v>0</v>
      </c>
      <c r="G19" s="14">
        <f t="shared" si="2"/>
        <v>70</v>
      </c>
      <c r="H19" s="14">
        <f t="shared" si="2"/>
        <v>0</v>
      </c>
      <c r="I19" s="15" t="str">
        <f t="shared" si="1"/>
        <v>-</v>
      </c>
    </row>
    <row r="21" spans="2:9" x14ac:dyDescent="0.25">
      <c r="B21" s="4" t="s">
        <v>50</v>
      </c>
      <c r="C21" s="16">
        <f>COUNTIF(Defects!$G$3:$G$500,"Open")</f>
        <v>0</v>
      </c>
    </row>
  </sheetData>
  <conditionalFormatting sqref="E6:E19">
    <cfRule type="cellIs" dxfId="3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35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4" customWidth="1"/>
    <col min="3" max="3" width="22" customWidth="1"/>
    <col min="4" max="5" width="16" customWidth="1"/>
    <col min="6" max="6" width="40" customWidth="1"/>
  </cols>
  <sheetData>
    <row r="2" spans="2:6" ht="15.75" x14ac:dyDescent="0.25">
      <c r="B2" s="17" t="s">
        <v>51</v>
      </c>
    </row>
    <row r="3" spans="2:6" x14ac:dyDescent="0.25">
      <c r="B3" s="18" t="s">
        <v>52</v>
      </c>
      <c r="C3" s="18" t="s">
        <v>53</v>
      </c>
      <c r="D3" s="18" t="s">
        <v>54</v>
      </c>
      <c r="E3" s="18" t="s">
        <v>55</v>
      </c>
      <c r="F3" s="18" t="s">
        <v>56</v>
      </c>
    </row>
    <row r="4" spans="2:6" x14ac:dyDescent="0.25">
      <c r="B4" s="19" t="s">
        <v>57</v>
      </c>
      <c r="C4" s="20">
        <v>9500000</v>
      </c>
      <c r="D4" s="20">
        <v>9000000</v>
      </c>
      <c r="E4" s="20">
        <f>D4</f>
        <v>9000000</v>
      </c>
      <c r="F4" s="19" t="s">
        <v>58</v>
      </c>
    </row>
    <row r="5" spans="2:6" x14ac:dyDescent="0.25">
      <c r="B5" s="19" t="s">
        <v>59</v>
      </c>
      <c r="C5" s="20">
        <v>500000</v>
      </c>
      <c r="D5" s="20">
        <v>460000</v>
      </c>
      <c r="E5" s="20">
        <f>MAX(C5,D5)</f>
        <v>500000</v>
      </c>
      <c r="F5" s="19" t="s">
        <v>60</v>
      </c>
    </row>
    <row r="6" spans="2:6" x14ac:dyDescent="0.25">
      <c r="B6" s="19" t="s">
        <v>61</v>
      </c>
      <c r="C6" s="20">
        <v>200000</v>
      </c>
      <c r="D6" s="20">
        <v>200000</v>
      </c>
      <c r="E6" s="20">
        <f>MAX(C6,D6)</f>
        <v>200000</v>
      </c>
      <c r="F6" s="19" t="s">
        <v>62</v>
      </c>
    </row>
    <row r="7" spans="2:6" ht="25.5" x14ac:dyDescent="0.25">
      <c r="B7" s="19" t="s">
        <v>63</v>
      </c>
      <c r="C7" s="20">
        <v>600000</v>
      </c>
      <c r="D7" s="20">
        <v>650000</v>
      </c>
      <c r="E7" s="20">
        <f>MAX(C7,D7)</f>
        <v>650000</v>
      </c>
      <c r="F7" s="19" t="s">
        <v>64</v>
      </c>
    </row>
    <row r="8" spans="2:6" x14ac:dyDescent="0.25">
      <c r="B8" s="19" t="s">
        <v>65</v>
      </c>
      <c r="C8" s="20">
        <v>2400000</v>
      </c>
      <c r="D8" s="20">
        <v>1300000</v>
      </c>
      <c r="E8" s="20">
        <f>MAX(C8,D8)</f>
        <v>2400000</v>
      </c>
      <c r="F8" s="19" t="s">
        <v>66</v>
      </c>
    </row>
    <row r="9" spans="2:6" x14ac:dyDescent="0.25">
      <c r="B9" s="19" t="s">
        <v>67</v>
      </c>
      <c r="C9" s="20">
        <v>300000</v>
      </c>
      <c r="D9" s="20">
        <v>0</v>
      </c>
      <c r="E9" s="20">
        <f>MAX(C9,D9)</f>
        <v>300000</v>
      </c>
      <c r="F9" s="19" t="s">
        <v>68</v>
      </c>
    </row>
    <row r="10" spans="2:6" x14ac:dyDescent="0.25">
      <c r="B10" s="21" t="s">
        <v>69</v>
      </c>
      <c r="C10" s="22">
        <f>SUM(C4:C9)</f>
        <v>13500000</v>
      </c>
      <c r="D10" s="22">
        <f>SUM(D4:D9)</f>
        <v>11610000</v>
      </c>
      <c r="E10" s="22">
        <f>SUM(E4:E9)</f>
        <v>13050000</v>
      </c>
    </row>
    <row r="11" spans="2:6" x14ac:dyDescent="0.25">
      <c r="B11" s="10" t="s">
        <v>70</v>
      </c>
      <c r="D11" s="23">
        <v>60000</v>
      </c>
      <c r="E11" s="23">
        <v>60000</v>
      </c>
    </row>
    <row r="13" spans="2:6" ht="15.75" x14ac:dyDescent="0.25">
      <c r="B13" s="17" t="s">
        <v>71</v>
      </c>
    </row>
    <row r="14" spans="2:6" x14ac:dyDescent="0.25">
      <c r="B14" s="18" t="s">
        <v>72</v>
      </c>
      <c r="C14" s="18" t="s">
        <v>73</v>
      </c>
      <c r="D14" s="18" t="s">
        <v>74</v>
      </c>
      <c r="E14" s="18" t="s">
        <v>75</v>
      </c>
      <c r="F14" s="18" t="s">
        <v>49</v>
      </c>
    </row>
    <row r="15" spans="2:6" x14ac:dyDescent="0.25">
      <c r="B15" s="19" t="s">
        <v>76</v>
      </c>
      <c r="C15" s="19">
        <v>12</v>
      </c>
      <c r="D15" s="19">
        <v>450</v>
      </c>
      <c r="E15" s="20">
        <v>1200000</v>
      </c>
      <c r="F15" s="24">
        <f>C15*E15</f>
        <v>14400000</v>
      </c>
    </row>
    <row r="16" spans="2:6" x14ac:dyDescent="0.25">
      <c r="B16" s="19" t="s">
        <v>77</v>
      </c>
      <c r="C16" s="19">
        <v>4</v>
      </c>
      <c r="D16" s="19">
        <v>450</v>
      </c>
      <c r="E16" s="20">
        <v>1500000</v>
      </c>
      <c r="F16" s="24">
        <f>C16*E16</f>
        <v>6000000</v>
      </c>
    </row>
    <row r="18" spans="2:6" ht="15.75" x14ac:dyDescent="0.25">
      <c r="B18" s="17" t="s">
        <v>78</v>
      </c>
    </row>
    <row r="19" spans="2:6" x14ac:dyDescent="0.25">
      <c r="B19" s="18" t="s">
        <v>79</v>
      </c>
      <c r="C19" s="18" t="s">
        <v>80</v>
      </c>
      <c r="D19" s="18"/>
      <c r="E19" s="18"/>
      <c r="F19" s="18" t="s">
        <v>81</v>
      </c>
    </row>
    <row r="20" spans="2:6" x14ac:dyDescent="0.25">
      <c r="B20" s="19" t="s">
        <v>82</v>
      </c>
      <c r="C20" s="25">
        <f>E10/16</f>
        <v>815625</v>
      </c>
      <c r="D20" s="19"/>
      <c r="E20" s="19"/>
      <c r="F20" s="19" t="s">
        <v>83</v>
      </c>
    </row>
    <row r="21" spans="2:6" x14ac:dyDescent="0.25">
      <c r="B21" s="19" t="s">
        <v>84</v>
      </c>
      <c r="C21" s="24">
        <f>SUM(F15:F16)</f>
        <v>20400000</v>
      </c>
      <c r="D21" s="19"/>
      <c r="E21" s="19"/>
      <c r="F21" s="19" t="s">
        <v>85</v>
      </c>
    </row>
    <row r="22" spans="2:6" x14ac:dyDescent="0.25">
      <c r="B22" s="19" t="s">
        <v>86</v>
      </c>
      <c r="C22" s="24">
        <f>C21-E10</f>
        <v>7350000</v>
      </c>
      <c r="D22" s="19"/>
      <c r="E22" s="19"/>
      <c r="F22" s="19" t="s">
        <v>87</v>
      </c>
    </row>
    <row r="23" spans="2:6" x14ac:dyDescent="0.25">
      <c r="B23" s="19" t="s">
        <v>88</v>
      </c>
      <c r="C23" s="24">
        <f>E10+E11</f>
        <v>13110000</v>
      </c>
      <c r="D23" s="19"/>
      <c r="E23" s="19"/>
      <c r="F23" s="19" t="s">
        <v>89</v>
      </c>
    </row>
    <row r="24" spans="2:6" x14ac:dyDescent="0.25">
      <c r="B24" s="19" t="s">
        <v>90</v>
      </c>
      <c r="C24" s="24">
        <f>C21-C23</f>
        <v>7290000</v>
      </c>
      <c r="D24" s="19"/>
      <c r="E24" s="19"/>
      <c r="F24" s="19" t="s">
        <v>91</v>
      </c>
    </row>
    <row r="25" spans="2:6" x14ac:dyDescent="0.25">
      <c r="B25" s="19" t="s">
        <v>92</v>
      </c>
      <c r="C25" s="20">
        <v>2060000</v>
      </c>
      <c r="D25" s="19"/>
      <c r="E25" s="19"/>
      <c r="F25" s="19" t="s">
        <v>93</v>
      </c>
    </row>
    <row r="26" spans="2:6" x14ac:dyDescent="0.25">
      <c r="B26" s="19" t="s">
        <v>94</v>
      </c>
      <c r="C26" s="19" t="s">
        <v>95</v>
      </c>
      <c r="D26" s="19"/>
      <c r="E26" s="19"/>
      <c r="F26" s="19" t="s">
        <v>96</v>
      </c>
    </row>
    <row r="28" spans="2:6" ht="15.75" x14ac:dyDescent="0.25">
      <c r="B28" s="17" t="s">
        <v>97</v>
      </c>
    </row>
    <row r="29" spans="2:6" x14ac:dyDescent="0.25">
      <c r="B29" s="18" t="s">
        <v>98</v>
      </c>
      <c r="C29" s="18" t="s">
        <v>99</v>
      </c>
      <c r="D29" s="18" t="s">
        <v>100</v>
      </c>
      <c r="E29" s="18" t="s">
        <v>101</v>
      </c>
      <c r="F29" s="18" t="s">
        <v>102</v>
      </c>
    </row>
    <row r="30" spans="2:6" ht="25.5" x14ac:dyDescent="0.25">
      <c r="B30" s="19" t="s">
        <v>103</v>
      </c>
      <c r="C30" s="19" t="s">
        <v>104</v>
      </c>
      <c r="D30" s="20">
        <v>1200000</v>
      </c>
      <c r="E30" s="19" t="s">
        <v>105</v>
      </c>
      <c r="F30" s="19" t="s">
        <v>106</v>
      </c>
    </row>
    <row r="31" spans="2:6" ht="51" x14ac:dyDescent="0.25">
      <c r="B31" s="19" t="s">
        <v>107</v>
      </c>
      <c r="C31" s="19" t="s">
        <v>108</v>
      </c>
      <c r="D31" s="20">
        <v>1200000</v>
      </c>
      <c r="E31" s="19" t="s">
        <v>109</v>
      </c>
      <c r="F31" s="19" t="s">
        <v>110</v>
      </c>
    </row>
    <row r="32" spans="2:6" ht="51" x14ac:dyDescent="0.25">
      <c r="B32" s="19" t="s">
        <v>111</v>
      </c>
      <c r="C32" s="19" t="s">
        <v>112</v>
      </c>
      <c r="D32" s="20">
        <v>1500000</v>
      </c>
      <c r="E32" s="19" t="s">
        <v>113</v>
      </c>
      <c r="F32" s="19" t="s">
        <v>114</v>
      </c>
    </row>
    <row r="33" spans="2:6" ht="25.5" x14ac:dyDescent="0.25">
      <c r="B33" s="19" t="s">
        <v>115</v>
      </c>
      <c r="C33" s="19" t="s">
        <v>116</v>
      </c>
      <c r="D33" s="20">
        <v>1200000</v>
      </c>
      <c r="E33" s="19" t="s">
        <v>117</v>
      </c>
      <c r="F33" s="19" t="s">
        <v>118</v>
      </c>
    </row>
    <row r="34" spans="2:6" ht="25.5" x14ac:dyDescent="0.25">
      <c r="B34" s="19" t="s">
        <v>119</v>
      </c>
      <c r="C34" s="19" t="s">
        <v>120</v>
      </c>
      <c r="D34" s="20">
        <v>1200000</v>
      </c>
      <c r="E34" s="19" t="s">
        <v>121</v>
      </c>
      <c r="F34" s="19" t="s">
        <v>122</v>
      </c>
    </row>
    <row r="35" spans="2:6" ht="25.5" x14ac:dyDescent="0.25">
      <c r="B35" s="19" t="s">
        <v>123</v>
      </c>
      <c r="C35" s="19" t="s">
        <v>124</v>
      </c>
      <c r="D35" s="20">
        <v>1200000</v>
      </c>
      <c r="E35" s="19" t="s">
        <v>125</v>
      </c>
      <c r="F35" s="19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1"/>
  <sheetViews>
    <sheetView tabSelected="1" zoomScaleNormal="100" workbookViewId="0">
      <pane xSplit="2" ySplit="1" topLeftCell="C40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8" customWidth="1"/>
    <col min="2" max="2" width="26" customWidth="1"/>
    <col min="3" max="3" width="18" customWidth="1"/>
    <col min="4" max="4" width="50" customWidth="1"/>
    <col min="5" max="5" width="34" customWidth="1"/>
    <col min="6" max="6" width="62" customWidth="1"/>
    <col min="7" max="7" width="11" customWidth="1"/>
    <col min="8" max="8" width="40" customWidth="1"/>
    <col min="9" max="10" width="12" customWidth="1"/>
  </cols>
  <sheetData>
    <row r="1" spans="1:10" ht="24" customHeight="1" x14ac:dyDescent="0.25">
      <c r="A1" s="18" t="s">
        <v>126</v>
      </c>
      <c r="B1" s="18" t="s">
        <v>29</v>
      </c>
      <c r="C1" s="18" t="s">
        <v>127</v>
      </c>
      <c r="D1" s="18" t="s">
        <v>30</v>
      </c>
      <c r="E1" s="18" t="s">
        <v>128</v>
      </c>
      <c r="F1" s="18" t="s">
        <v>129</v>
      </c>
      <c r="G1" s="18" t="s">
        <v>21</v>
      </c>
      <c r="H1" s="18" t="s">
        <v>130</v>
      </c>
      <c r="I1" s="18" t="s">
        <v>131</v>
      </c>
      <c r="J1" s="18" t="s">
        <v>132</v>
      </c>
    </row>
    <row r="2" spans="1:10" ht="45.75" customHeight="1" x14ac:dyDescent="0.25">
      <c r="A2" s="26" t="s">
        <v>133</v>
      </c>
      <c r="B2" s="27" t="s">
        <v>36</v>
      </c>
      <c r="C2" s="27" t="s">
        <v>134</v>
      </c>
      <c r="D2" s="27" t="s">
        <v>135</v>
      </c>
      <c r="E2" s="27" t="s">
        <v>136</v>
      </c>
      <c r="F2" s="27" t="s">
        <v>137</v>
      </c>
      <c r="G2" s="28" t="s">
        <v>33</v>
      </c>
      <c r="H2" s="28"/>
      <c r="I2" s="28"/>
      <c r="J2" s="29"/>
    </row>
    <row r="3" spans="1:10" ht="31.5" customHeight="1" x14ac:dyDescent="0.25">
      <c r="A3" s="26" t="s">
        <v>138</v>
      </c>
      <c r="B3" s="27" t="s">
        <v>36</v>
      </c>
      <c r="C3" s="27" t="s">
        <v>139</v>
      </c>
      <c r="D3" s="27" t="s">
        <v>140</v>
      </c>
      <c r="E3" s="27" t="s">
        <v>141</v>
      </c>
      <c r="F3" s="27" t="s">
        <v>142</v>
      </c>
      <c r="G3" s="28" t="s">
        <v>33</v>
      </c>
      <c r="H3" s="28"/>
      <c r="I3" s="28"/>
      <c r="J3" s="29"/>
    </row>
    <row r="4" spans="1:10" ht="31.5" customHeight="1" x14ac:dyDescent="0.25">
      <c r="A4" s="26" t="s">
        <v>143</v>
      </c>
      <c r="B4" s="27" t="s">
        <v>36</v>
      </c>
      <c r="C4" s="27" t="s">
        <v>144</v>
      </c>
      <c r="D4" s="27" t="s">
        <v>145</v>
      </c>
      <c r="E4" s="27" t="s">
        <v>146</v>
      </c>
      <c r="F4" s="27" t="s">
        <v>147</v>
      </c>
      <c r="G4" s="28" t="s">
        <v>33</v>
      </c>
      <c r="H4" s="28"/>
      <c r="I4" s="28"/>
      <c r="J4" s="29"/>
    </row>
    <row r="5" spans="1:10" ht="45.75" customHeight="1" x14ac:dyDescent="0.25">
      <c r="A5" s="30" t="s">
        <v>148</v>
      </c>
      <c r="B5" s="31" t="s">
        <v>37</v>
      </c>
      <c r="C5" s="31" t="s">
        <v>5</v>
      </c>
      <c r="D5" s="31" t="s">
        <v>149</v>
      </c>
      <c r="E5" s="31" t="s">
        <v>150</v>
      </c>
      <c r="F5" s="31" t="s">
        <v>151</v>
      </c>
      <c r="G5" s="28" t="s">
        <v>33</v>
      </c>
      <c r="H5" s="28"/>
      <c r="I5" s="28"/>
      <c r="J5" s="29"/>
    </row>
    <row r="6" spans="1:10" ht="60" customHeight="1" x14ac:dyDescent="0.25">
      <c r="A6" s="30" t="s">
        <v>152</v>
      </c>
      <c r="B6" s="31" t="s">
        <v>37</v>
      </c>
      <c r="C6" s="31" t="s">
        <v>153</v>
      </c>
      <c r="D6" s="31" t="s">
        <v>154</v>
      </c>
      <c r="E6" s="31" t="s">
        <v>155</v>
      </c>
      <c r="F6" s="31" t="s">
        <v>156</v>
      </c>
      <c r="G6" s="28" t="s">
        <v>33</v>
      </c>
      <c r="H6" s="28"/>
      <c r="I6" s="28"/>
      <c r="J6" s="29"/>
    </row>
    <row r="7" spans="1:10" ht="115.5" customHeight="1" x14ac:dyDescent="0.25">
      <c r="A7" s="30" t="s">
        <v>157</v>
      </c>
      <c r="B7" s="31" t="s">
        <v>37</v>
      </c>
      <c r="C7" s="31" t="s">
        <v>158</v>
      </c>
      <c r="D7" s="31" t="s">
        <v>159</v>
      </c>
      <c r="E7" s="31" t="s">
        <v>160</v>
      </c>
      <c r="F7" s="31" t="s">
        <v>161</v>
      </c>
      <c r="G7" s="28" t="s">
        <v>33</v>
      </c>
      <c r="H7" s="28"/>
      <c r="I7" s="28"/>
      <c r="J7" s="29"/>
    </row>
    <row r="8" spans="1:10" ht="31.5" customHeight="1" x14ac:dyDescent="0.25">
      <c r="A8" s="30" t="s">
        <v>162</v>
      </c>
      <c r="B8" s="31" t="s">
        <v>37</v>
      </c>
      <c r="C8" s="31" t="s">
        <v>163</v>
      </c>
      <c r="D8" s="31" t="s">
        <v>164</v>
      </c>
      <c r="E8" s="31" t="s">
        <v>141</v>
      </c>
      <c r="F8" s="31" t="s">
        <v>165</v>
      </c>
      <c r="G8" s="28" t="s">
        <v>33</v>
      </c>
      <c r="H8" s="28"/>
      <c r="I8" s="28"/>
      <c r="J8" s="29"/>
    </row>
    <row r="9" spans="1:10" ht="45.75" customHeight="1" x14ac:dyDescent="0.25">
      <c r="A9" s="30" t="s">
        <v>166</v>
      </c>
      <c r="B9" s="31" t="s">
        <v>37</v>
      </c>
      <c r="C9" s="31" t="s">
        <v>167</v>
      </c>
      <c r="D9" s="31" t="s">
        <v>168</v>
      </c>
      <c r="E9" s="31" t="s">
        <v>169</v>
      </c>
      <c r="F9" s="31" t="s">
        <v>170</v>
      </c>
      <c r="G9" s="28" t="s">
        <v>33</v>
      </c>
      <c r="H9" s="28"/>
      <c r="I9" s="28"/>
      <c r="J9" s="29"/>
    </row>
    <row r="10" spans="1:10" ht="60" customHeight="1" x14ac:dyDescent="0.25">
      <c r="A10" s="26" t="s">
        <v>171</v>
      </c>
      <c r="B10" s="27" t="s">
        <v>38</v>
      </c>
      <c r="C10" s="27" t="s">
        <v>59</v>
      </c>
      <c r="D10" s="27" t="s">
        <v>172</v>
      </c>
      <c r="E10" s="27" t="s">
        <v>173</v>
      </c>
      <c r="F10" s="27" t="s">
        <v>174</v>
      </c>
      <c r="G10" s="28" t="s">
        <v>33</v>
      </c>
      <c r="H10" s="28"/>
      <c r="I10" s="28"/>
      <c r="J10" s="29"/>
    </row>
    <row r="11" spans="1:10" ht="31.5" customHeight="1" x14ac:dyDescent="0.25">
      <c r="A11" s="26" t="s">
        <v>175</v>
      </c>
      <c r="B11" s="27" t="s">
        <v>38</v>
      </c>
      <c r="C11" s="27" t="s">
        <v>176</v>
      </c>
      <c r="D11" s="27" t="s">
        <v>177</v>
      </c>
      <c r="E11" s="27" t="s">
        <v>178</v>
      </c>
      <c r="F11" s="27" t="s">
        <v>179</v>
      </c>
      <c r="G11" s="28" t="s">
        <v>33</v>
      </c>
      <c r="H11" s="28"/>
      <c r="I11" s="28"/>
      <c r="J11" s="29"/>
    </row>
    <row r="12" spans="1:10" ht="31.5" customHeight="1" x14ac:dyDescent="0.25">
      <c r="A12" s="26" t="s">
        <v>180</v>
      </c>
      <c r="B12" s="27" t="s">
        <v>38</v>
      </c>
      <c r="C12" s="27" t="s">
        <v>61</v>
      </c>
      <c r="D12" s="27" t="s">
        <v>181</v>
      </c>
      <c r="E12" s="27" t="s">
        <v>182</v>
      </c>
      <c r="F12" s="27" t="s">
        <v>183</v>
      </c>
      <c r="G12" s="28" t="s">
        <v>33</v>
      </c>
      <c r="H12" s="28"/>
      <c r="I12" s="28"/>
      <c r="J12" s="29"/>
    </row>
    <row r="13" spans="1:10" ht="60" customHeight="1" x14ac:dyDescent="0.25">
      <c r="A13" s="26" t="s">
        <v>184</v>
      </c>
      <c r="B13" s="27" t="s">
        <v>38</v>
      </c>
      <c r="C13" s="27" t="s">
        <v>185</v>
      </c>
      <c r="D13" s="27" t="s">
        <v>186</v>
      </c>
      <c r="E13" s="27" t="s">
        <v>187</v>
      </c>
      <c r="F13" s="27" t="s">
        <v>188</v>
      </c>
      <c r="G13" s="28" t="s">
        <v>33</v>
      </c>
      <c r="H13" s="28"/>
      <c r="I13" s="28"/>
      <c r="J13" s="29"/>
    </row>
    <row r="14" spans="1:10" ht="45.75" customHeight="1" x14ac:dyDescent="0.25">
      <c r="A14" s="26" t="s">
        <v>189</v>
      </c>
      <c r="B14" s="27" t="s">
        <v>38</v>
      </c>
      <c r="C14" s="27" t="s">
        <v>65</v>
      </c>
      <c r="D14" s="27" t="s">
        <v>190</v>
      </c>
      <c r="E14" s="27" t="s">
        <v>191</v>
      </c>
      <c r="F14" s="27" t="s">
        <v>192</v>
      </c>
      <c r="G14" s="28" t="s">
        <v>33</v>
      </c>
      <c r="H14" s="28"/>
      <c r="I14" s="28"/>
      <c r="J14" s="29"/>
    </row>
    <row r="15" spans="1:10" ht="73.5" customHeight="1" x14ac:dyDescent="0.25">
      <c r="A15" s="26" t="s">
        <v>193</v>
      </c>
      <c r="B15" s="27" t="s">
        <v>38</v>
      </c>
      <c r="C15" s="27" t="s">
        <v>194</v>
      </c>
      <c r="D15" s="27" t="s">
        <v>164</v>
      </c>
      <c r="E15" s="27" t="s">
        <v>141</v>
      </c>
      <c r="F15" s="27" t="s">
        <v>195</v>
      </c>
      <c r="G15" s="28" t="s">
        <v>33</v>
      </c>
      <c r="H15" s="28"/>
      <c r="I15" s="28"/>
      <c r="J15" s="29"/>
    </row>
    <row r="16" spans="1:10" ht="31.5" customHeight="1" x14ac:dyDescent="0.25">
      <c r="A16" s="30" t="s">
        <v>196</v>
      </c>
      <c r="B16" s="31" t="s">
        <v>39</v>
      </c>
      <c r="C16" s="31" t="s">
        <v>197</v>
      </c>
      <c r="D16" s="31" t="s">
        <v>198</v>
      </c>
      <c r="E16" s="31" t="s">
        <v>199</v>
      </c>
      <c r="F16" s="31" t="s">
        <v>200</v>
      </c>
      <c r="G16" s="28" t="s">
        <v>33</v>
      </c>
      <c r="H16" s="28"/>
      <c r="I16" s="28"/>
      <c r="J16" s="29"/>
    </row>
    <row r="17" spans="1:10" ht="31.5" customHeight="1" x14ac:dyDescent="0.25">
      <c r="A17" s="30" t="s">
        <v>201</v>
      </c>
      <c r="B17" s="31" t="s">
        <v>39</v>
      </c>
      <c r="C17" s="31" t="s">
        <v>202</v>
      </c>
      <c r="D17" s="31" t="s">
        <v>203</v>
      </c>
      <c r="E17" s="31" t="s">
        <v>204</v>
      </c>
      <c r="F17" s="31" t="s">
        <v>205</v>
      </c>
      <c r="G17" s="28" t="s">
        <v>33</v>
      </c>
      <c r="H17" s="28"/>
      <c r="I17" s="28"/>
      <c r="J17" s="29"/>
    </row>
    <row r="18" spans="1:10" ht="31.5" customHeight="1" x14ac:dyDescent="0.25">
      <c r="A18" s="30" t="s">
        <v>206</v>
      </c>
      <c r="B18" s="31" t="s">
        <v>39</v>
      </c>
      <c r="C18" s="31" t="s">
        <v>207</v>
      </c>
      <c r="D18" s="31" t="s">
        <v>208</v>
      </c>
      <c r="E18" s="31" t="s">
        <v>209</v>
      </c>
      <c r="F18" s="31" t="s">
        <v>210</v>
      </c>
      <c r="G18" s="28" t="s">
        <v>33</v>
      </c>
      <c r="H18" s="28"/>
      <c r="I18" s="28"/>
      <c r="J18" s="29"/>
    </row>
    <row r="19" spans="1:10" ht="31.5" customHeight="1" x14ac:dyDescent="0.25">
      <c r="A19" s="30" t="s">
        <v>211</v>
      </c>
      <c r="B19" s="31" t="s">
        <v>39</v>
      </c>
      <c r="C19" s="31" t="s">
        <v>212</v>
      </c>
      <c r="D19" s="31" t="s">
        <v>213</v>
      </c>
      <c r="E19" s="31" t="s">
        <v>141</v>
      </c>
      <c r="F19" s="31" t="s">
        <v>214</v>
      </c>
      <c r="G19" s="28" t="s">
        <v>33</v>
      </c>
      <c r="H19" s="28"/>
      <c r="I19" s="28"/>
      <c r="J19" s="29"/>
    </row>
    <row r="20" spans="1:10" ht="31.5" customHeight="1" x14ac:dyDescent="0.25">
      <c r="A20" s="30" t="s">
        <v>215</v>
      </c>
      <c r="B20" s="31" t="s">
        <v>39</v>
      </c>
      <c r="C20" s="31" t="s">
        <v>216</v>
      </c>
      <c r="D20" s="31" t="s">
        <v>217</v>
      </c>
      <c r="E20" s="31" t="s">
        <v>218</v>
      </c>
      <c r="F20" s="31" t="s">
        <v>219</v>
      </c>
      <c r="G20" s="28" t="s">
        <v>33</v>
      </c>
      <c r="H20" s="28"/>
      <c r="I20" s="28"/>
      <c r="J20" s="29"/>
    </row>
    <row r="21" spans="1:10" ht="31.5" customHeight="1" x14ac:dyDescent="0.25">
      <c r="A21" s="30" t="s">
        <v>220</v>
      </c>
      <c r="B21" s="31" t="s">
        <v>39</v>
      </c>
      <c r="C21" s="31" t="s">
        <v>221</v>
      </c>
      <c r="D21" s="31" t="s">
        <v>222</v>
      </c>
      <c r="E21" s="31" t="s">
        <v>141</v>
      </c>
      <c r="F21" s="31" t="s">
        <v>223</v>
      </c>
      <c r="G21" s="28" t="s">
        <v>33</v>
      </c>
      <c r="H21" s="28"/>
      <c r="I21" s="28"/>
      <c r="J21" s="29"/>
    </row>
    <row r="22" spans="1:10" ht="31.5" customHeight="1" x14ac:dyDescent="0.25">
      <c r="A22" s="26" t="s">
        <v>83</v>
      </c>
      <c r="B22" s="27" t="s">
        <v>40</v>
      </c>
      <c r="C22" s="27" t="s">
        <v>224</v>
      </c>
      <c r="D22" s="27" t="s">
        <v>225</v>
      </c>
      <c r="E22" s="27" t="s">
        <v>141</v>
      </c>
      <c r="F22" s="27" t="s">
        <v>226</v>
      </c>
      <c r="G22" s="28" t="s">
        <v>33</v>
      </c>
      <c r="H22" s="28"/>
      <c r="I22" s="28"/>
      <c r="J22" s="29"/>
    </row>
    <row r="23" spans="1:10" ht="31.5" customHeight="1" x14ac:dyDescent="0.25">
      <c r="A23" s="26" t="s">
        <v>227</v>
      </c>
      <c r="B23" s="27" t="s">
        <v>40</v>
      </c>
      <c r="C23" s="27" t="s">
        <v>228</v>
      </c>
      <c r="D23" s="27" t="s">
        <v>229</v>
      </c>
      <c r="E23" s="27" t="s">
        <v>141</v>
      </c>
      <c r="F23" s="27" t="s">
        <v>230</v>
      </c>
      <c r="G23" s="28" t="s">
        <v>33</v>
      </c>
      <c r="H23" s="28"/>
      <c r="I23" s="28"/>
      <c r="J23" s="29"/>
    </row>
    <row r="24" spans="1:10" ht="31.5" customHeight="1" x14ac:dyDescent="0.25">
      <c r="A24" s="26" t="s">
        <v>85</v>
      </c>
      <c r="B24" s="27" t="s">
        <v>40</v>
      </c>
      <c r="C24" s="27" t="s">
        <v>231</v>
      </c>
      <c r="D24" s="27" t="s">
        <v>232</v>
      </c>
      <c r="E24" s="27" t="s">
        <v>141</v>
      </c>
      <c r="F24" s="27" t="s">
        <v>233</v>
      </c>
      <c r="G24" s="28" t="s">
        <v>33</v>
      </c>
      <c r="H24" s="28"/>
      <c r="I24" s="28"/>
      <c r="J24" s="29"/>
    </row>
    <row r="25" spans="1:10" ht="31.5" customHeight="1" x14ac:dyDescent="0.25">
      <c r="A25" s="26" t="s">
        <v>234</v>
      </c>
      <c r="B25" s="27" t="s">
        <v>40</v>
      </c>
      <c r="C25" s="27" t="s">
        <v>235</v>
      </c>
      <c r="D25" s="27" t="s">
        <v>236</v>
      </c>
      <c r="E25" s="27" t="s">
        <v>141</v>
      </c>
      <c r="F25" s="27" t="s">
        <v>237</v>
      </c>
      <c r="G25" s="28" t="s">
        <v>33</v>
      </c>
      <c r="H25" s="28"/>
      <c r="I25" s="28"/>
      <c r="J25" s="29"/>
    </row>
    <row r="26" spans="1:10" ht="31.5" customHeight="1" x14ac:dyDescent="0.25">
      <c r="A26" s="26" t="s">
        <v>238</v>
      </c>
      <c r="B26" s="27" t="s">
        <v>40</v>
      </c>
      <c r="C26" s="27" t="s">
        <v>239</v>
      </c>
      <c r="D26" s="27" t="s">
        <v>240</v>
      </c>
      <c r="E26" s="27" t="s">
        <v>141</v>
      </c>
      <c r="F26" s="27" t="s">
        <v>241</v>
      </c>
      <c r="G26" s="28" t="s">
        <v>33</v>
      </c>
      <c r="H26" s="28"/>
      <c r="I26" s="28"/>
      <c r="J26" s="29"/>
    </row>
    <row r="27" spans="1:10" ht="45.75" customHeight="1" x14ac:dyDescent="0.25">
      <c r="A27" s="26" t="s">
        <v>89</v>
      </c>
      <c r="B27" s="27" t="s">
        <v>40</v>
      </c>
      <c r="C27" s="27" t="s">
        <v>242</v>
      </c>
      <c r="D27" s="27" t="s">
        <v>243</v>
      </c>
      <c r="E27" s="27" t="s">
        <v>244</v>
      </c>
      <c r="F27" s="27" t="s">
        <v>245</v>
      </c>
      <c r="G27" s="28" t="s">
        <v>33</v>
      </c>
      <c r="H27" s="28"/>
      <c r="I27" s="28"/>
      <c r="J27" s="29"/>
    </row>
    <row r="28" spans="1:10" ht="45.75" customHeight="1" x14ac:dyDescent="0.25">
      <c r="A28" s="30" t="s">
        <v>246</v>
      </c>
      <c r="B28" s="31" t="s">
        <v>41</v>
      </c>
      <c r="C28" s="31" t="s">
        <v>247</v>
      </c>
      <c r="D28" s="31" t="s">
        <v>248</v>
      </c>
      <c r="E28" s="31" t="s">
        <v>249</v>
      </c>
      <c r="F28" s="31" t="s">
        <v>250</v>
      </c>
      <c r="G28" s="28" t="s">
        <v>33</v>
      </c>
      <c r="H28" s="28"/>
      <c r="I28" s="28"/>
      <c r="J28" s="29"/>
    </row>
    <row r="29" spans="1:10" ht="45.75" customHeight="1" x14ac:dyDescent="0.25">
      <c r="A29" s="30" t="s">
        <v>251</v>
      </c>
      <c r="B29" s="31" t="s">
        <v>41</v>
      </c>
      <c r="C29" s="31" t="s">
        <v>98</v>
      </c>
      <c r="D29" s="31" t="s">
        <v>252</v>
      </c>
      <c r="E29" s="31" t="s">
        <v>141</v>
      </c>
      <c r="F29" s="31" t="s">
        <v>253</v>
      </c>
      <c r="G29" s="28" t="s">
        <v>33</v>
      </c>
      <c r="H29" s="28"/>
      <c r="I29" s="28"/>
      <c r="J29" s="29"/>
    </row>
    <row r="30" spans="1:10" ht="31.5" customHeight="1" x14ac:dyDescent="0.25">
      <c r="A30" s="30" t="s">
        <v>254</v>
      </c>
      <c r="B30" s="31" t="s">
        <v>41</v>
      </c>
      <c r="C30" s="31" t="s">
        <v>255</v>
      </c>
      <c r="D30" s="31" t="s">
        <v>256</v>
      </c>
      <c r="E30" s="31" t="s">
        <v>257</v>
      </c>
      <c r="F30" s="31" t="s">
        <v>258</v>
      </c>
      <c r="G30" s="28" t="s">
        <v>33</v>
      </c>
      <c r="H30" s="28"/>
      <c r="I30" s="28"/>
      <c r="J30" s="29"/>
    </row>
    <row r="31" spans="1:10" ht="31.5" customHeight="1" x14ac:dyDescent="0.25">
      <c r="A31" s="30" t="s">
        <v>259</v>
      </c>
      <c r="B31" s="31" t="s">
        <v>41</v>
      </c>
      <c r="C31" s="31" t="s">
        <v>260</v>
      </c>
      <c r="D31" s="31" t="s">
        <v>261</v>
      </c>
      <c r="E31" s="31" t="s">
        <v>262</v>
      </c>
      <c r="F31" s="31" t="s">
        <v>263</v>
      </c>
      <c r="G31" s="28" t="s">
        <v>33</v>
      </c>
      <c r="H31" s="28"/>
      <c r="I31" s="28"/>
      <c r="J31" s="29"/>
    </row>
    <row r="32" spans="1:10" ht="45.75" customHeight="1" x14ac:dyDescent="0.25">
      <c r="A32" s="30" t="s">
        <v>264</v>
      </c>
      <c r="B32" s="31" t="s">
        <v>41</v>
      </c>
      <c r="C32" s="31" t="s">
        <v>265</v>
      </c>
      <c r="D32" s="31" t="s">
        <v>266</v>
      </c>
      <c r="E32" s="31" t="s">
        <v>267</v>
      </c>
      <c r="F32" s="31" t="s">
        <v>268</v>
      </c>
      <c r="G32" s="28" t="s">
        <v>33</v>
      </c>
      <c r="H32" s="28"/>
      <c r="I32" s="28"/>
      <c r="J32" s="29"/>
    </row>
    <row r="33" spans="1:10" ht="31.5" customHeight="1" x14ac:dyDescent="0.25">
      <c r="A33" s="30" t="s">
        <v>269</v>
      </c>
      <c r="B33" s="31" t="s">
        <v>41</v>
      </c>
      <c r="C33" s="31" t="s">
        <v>270</v>
      </c>
      <c r="D33" s="31" t="s">
        <v>271</v>
      </c>
      <c r="E33" s="31" t="s">
        <v>272</v>
      </c>
      <c r="F33" s="31" t="s">
        <v>273</v>
      </c>
      <c r="G33" s="28" t="s">
        <v>33</v>
      </c>
      <c r="H33" s="28"/>
      <c r="I33" s="28"/>
      <c r="J33" s="29"/>
    </row>
    <row r="34" spans="1:10" ht="31.5" customHeight="1" x14ac:dyDescent="0.25">
      <c r="A34" s="26" t="s">
        <v>274</v>
      </c>
      <c r="B34" s="27" t="s">
        <v>42</v>
      </c>
      <c r="C34" s="27" t="s">
        <v>247</v>
      </c>
      <c r="D34" s="27" t="s">
        <v>275</v>
      </c>
      <c r="E34" s="27" t="s">
        <v>276</v>
      </c>
      <c r="F34" s="27" t="s">
        <v>250</v>
      </c>
      <c r="G34" s="28" t="s">
        <v>33</v>
      </c>
      <c r="H34" s="28"/>
      <c r="I34" s="28"/>
      <c r="J34" s="29"/>
    </row>
    <row r="35" spans="1:10" ht="60" customHeight="1" x14ac:dyDescent="0.25">
      <c r="A35" s="26" t="s">
        <v>277</v>
      </c>
      <c r="B35" s="27" t="s">
        <v>42</v>
      </c>
      <c r="C35" s="27" t="s">
        <v>278</v>
      </c>
      <c r="D35" s="27" t="s">
        <v>279</v>
      </c>
      <c r="E35" s="27" t="s">
        <v>280</v>
      </c>
      <c r="F35" s="27" t="s">
        <v>281</v>
      </c>
      <c r="G35" s="28" t="s">
        <v>33</v>
      </c>
      <c r="H35" s="28"/>
      <c r="I35" s="28"/>
      <c r="J35" s="29"/>
    </row>
    <row r="36" spans="1:10" ht="31.5" customHeight="1" x14ac:dyDescent="0.25">
      <c r="A36" s="26" t="s">
        <v>282</v>
      </c>
      <c r="B36" s="27" t="s">
        <v>42</v>
      </c>
      <c r="C36" s="27" t="s">
        <v>283</v>
      </c>
      <c r="D36" s="27" t="s">
        <v>284</v>
      </c>
      <c r="E36" s="27" t="s">
        <v>285</v>
      </c>
      <c r="F36" s="27" t="s">
        <v>286</v>
      </c>
      <c r="G36" s="28" t="s">
        <v>33</v>
      </c>
      <c r="H36" s="28"/>
      <c r="I36" s="28"/>
      <c r="J36" s="29"/>
    </row>
    <row r="37" spans="1:10" ht="31.5" customHeight="1" x14ac:dyDescent="0.25">
      <c r="A37" s="26" t="s">
        <v>287</v>
      </c>
      <c r="B37" s="27" t="s">
        <v>42</v>
      </c>
      <c r="C37" s="27" t="s">
        <v>288</v>
      </c>
      <c r="D37" s="27" t="s">
        <v>289</v>
      </c>
      <c r="E37" s="27" t="s">
        <v>290</v>
      </c>
      <c r="F37" s="27" t="s">
        <v>291</v>
      </c>
      <c r="G37" s="28" t="s">
        <v>33</v>
      </c>
      <c r="H37" s="28"/>
      <c r="I37" s="28"/>
      <c r="J37" s="29"/>
    </row>
    <row r="38" spans="1:10" ht="31.5" customHeight="1" x14ac:dyDescent="0.25">
      <c r="A38" s="26" t="s">
        <v>292</v>
      </c>
      <c r="B38" s="27" t="s">
        <v>42</v>
      </c>
      <c r="C38" s="27" t="s">
        <v>293</v>
      </c>
      <c r="D38" s="27" t="s">
        <v>294</v>
      </c>
      <c r="E38" s="27" t="s">
        <v>141</v>
      </c>
      <c r="F38" s="27" t="s">
        <v>295</v>
      </c>
      <c r="G38" s="28" t="s">
        <v>33</v>
      </c>
      <c r="H38" s="28"/>
      <c r="I38" s="28"/>
      <c r="J38" s="29"/>
    </row>
    <row r="39" spans="1:10" ht="31.5" customHeight="1" x14ac:dyDescent="0.25">
      <c r="A39" s="26" t="s">
        <v>296</v>
      </c>
      <c r="B39" s="27" t="s">
        <v>42</v>
      </c>
      <c r="C39" s="27" t="s">
        <v>297</v>
      </c>
      <c r="D39" s="27" t="s">
        <v>298</v>
      </c>
      <c r="E39" s="27" t="s">
        <v>299</v>
      </c>
      <c r="F39" s="27" t="s">
        <v>300</v>
      </c>
      <c r="G39" s="28" t="s">
        <v>33</v>
      </c>
      <c r="H39" s="28"/>
      <c r="I39" s="28"/>
      <c r="J39" s="29"/>
    </row>
    <row r="40" spans="1:10" ht="31.5" customHeight="1" x14ac:dyDescent="0.25">
      <c r="A40" s="30" t="s">
        <v>301</v>
      </c>
      <c r="B40" s="31" t="s">
        <v>43</v>
      </c>
      <c r="C40" s="31" t="s">
        <v>302</v>
      </c>
      <c r="D40" s="31" t="s">
        <v>303</v>
      </c>
      <c r="E40" s="31" t="s">
        <v>304</v>
      </c>
      <c r="F40" s="31" t="s">
        <v>305</v>
      </c>
      <c r="G40" s="28" t="s">
        <v>33</v>
      </c>
      <c r="H40" s="28"/>
      <c r="I40" s="28"/>
      <c r="J40" s="29"/>
    </row>
    <row r="41" spans="1:10" ht="45.75" customHeight="1" x14ac:dyDescent="0.25">
      <c r="A41" s="30" t="s">
        <v>306</v>
      </c>
      <c r="B41" s="31" t="s">
        <v>43</v>
      </c>
      <c r="C41" s="31" t="s">
        <v>307</v>
      </c>
      <c r="D41" s="31" t="s">
        <v>308</v>
      </c>
      <c r="E41" s="31" t="s">
        <v>309</v>
      </c>
      <c r="F41" s="31" t="s">
        <v>310</v>
      </c>
      <c r="G41" s="28" t="s">
        <v>33</v>
      </c>
      <c r="H41" s="28"/>
      <c r="I41" s="28"/>
      <c r="J41" s="29"/>
    </row>
    <row r="42" spans="1:10" ht="31.5" customHeight="1" x14ac:dyDescent="0.25">
      <c r="A42" s="30" t="s">
        <v>311</v>
      </c>
      <c r="B42" s="31" t="s">
        <v>43</v>
      </c>
      <c r="C42" s="31" t="s">
        <v>283</v>
      </c>
      <c r="D42" s="31" t="s">
        <v>312</v>
      </c>
      <c r="E42" s="31" t="s">
        <v>313</v>
      </c>
      <c r="F42" s="31" t="s">
        <v>314</v>
      </c>
      <c r="G42" s="28" t="s">
        <v>33</v>
      </c>
      <c r="H42" s="28"/>
      <c r="I42" s="28"/>
      <c r="J42" s="29"/>
    </row>
    <row r="43" spans="1:10" ht="45.75" customHeight="1" x14ac:dyDescent="0.25">
      <c r="A43" s="26" t="s">
        <v>315</v>
      </c>
      <c r="B43" s="27" t="s">
        <v>44</v>
      </c>
      <c r="C43" s="27" t="s">
        <v>316</v>
      </c>
      <c r="D43" s="27" t="s">
        <v>317</v>
      </c>
      <c r="E43" s="27" t="s">
        <v>318</v>
      </c>
      <c r="F43" s="27" t="s">
        <v>319</v>
      </c>
      <c r="G43" s="28" t="s">
        <v>33</v>
      </c>
      <c r="H43" s="28"/>
      <c r="I43" s="28"/>
      <c r="J43" s="29"/>
    </row>
    <row r="44" spans="1:10" ht="45.75" customHeight="1" x14ac:dyDescent="0.25">
      <c r="A44" s="26" t="s">
        <v>320</v>
      </c>
      <c r="B44" s="27" t="s">
        <v>44</v>
      </c>
      <c r="C44" s="27" t="s">
        <v>321</v>
      </c>
      <c r="D44" s="27" t="s">
        <v>322</v>
      </c>
      <c r="E44" s="27" t="s">
        <v>323</v>
      </c>
      <c r="F44" s="27" t="s">
        <v>324</v>
      </c>
      <c r="G44" s="28" t="s">
        <v>33</v>
      </c>
      <c r="H44" s="28"/>
      <c r="I44" s="28"/>
      <c r="J44" s="29"/>
    </row>
    <row r="45" spans="1:10" ht="31.5" customHeight="1" x14ac:dyDescent="0.25">
      <c r="A45" s="26" t="s">
        <v>325</v>
      </c>
      <c r="B45" s="27" t="s">
        <v>44</v>
      </c>
      <c r="C45" s="27" t="s">
        <v>326</v>
      </c>
      <c r="D45" s="27" t="s">
        <v>327</v>
      </c>
      <c r="E45" s="27" t="s">
        <v>141</v>
      </c>
      <c r="F45" s="27" t="s">
        <v>328</v>
      </c>
      <c r="G45" s="28" t="s">
        <v>33</v>
      </c>
      <c r="H45" s="28"/>
      <c r="I45" s="28"/>
      <c r="J45" s="29"/>
    </row>
    <row r="46" spans="1:10" ht="31.5" customHeight="1" x14ac:dyDescent="0.25">
      <c r="A46" s="26" t="s">
        <v>329</v>
      </c>
      <c r="B46" s="27" t="s">
        <v>44</v>
      </c>
      <c r="C46" s="27" t="s">
        <v>330</v>
      </c>
      <c r="D46" s="27" t="s">
        <v>331</v>
      </c>
      <c r="E46" s="27" t="s">
        <v>332</v>
      </c>
      <c r="F46" s="27" t="s">
        <v>333</v>
      </c>
      <c r="G46" s="28" t="s">
        <v>33</v>
      </c>
      <c r="H46" s="28"/>
      <c r="I46" s="28"/>
      <c r="J46" s="29"/>
    </row>
    <row r="47" spans="1:10" ht="31.5" customHeight="1" x14ac:dyDescent="0.25">
      <c r="A47" s="26" t="s">
        <v>334</v>
      </c>
      <c r="B47" s="27" t="s">
        <v>44</v>
      </c>
      <c r="C47" s="27" t="s">
        <v>335</v>
      </c>
      <c r="D47" s="27" t="s">
        <v>336</v>
      </c>
      <c r="E47" s="27" t="s">
        <v>337</v>
      </c>
      <c r="F47" s="27" t="s">
        <v>338</v>
      </c>
      <c r="G47" s="28" t="s">
        <v>33</v>
      </c>
      <c r="H47" s="28"/>
      <c r="I47" s="28"/>
      <c r="J47" s="29"/>
    </row>
    <row r="48" spans="1:10" ht="60" customHeight="1" x14ac:dyDescent="0.25">
      <c r="A48" s="30" t="s">
        <v>339</v>
      </c>
      <c r="B48" s="31" t="s">
        <v>45</v>
      </c>
      <c r="C48" s="31" t="s">
        <v>340</v>
      </c>
      <c r="D48" s="31" t="s">
        <v>341</v>
      </c>
      <c r="E48" s="31" t="s">
        <v>141</v>
      </c>
      <c r="F48" s="31" t="s">
        <v>342</v>
      </c>
      <c r="G48" s="28" t="s">
        <v>33</v>
      </c>
      <c r="H48" s="28"/>
      <c r="I48" s="28"/>
      <c r="J48" s="29"/>
    </row>
    <row r="49" spans="1:10" ht="60" customHeight="1" x14ac:dyDescent="0.25">
      <c r="A49" s="30" t="s">
        <v>96</v>
      </c>
      <c r="B49" s="31" t="s">
        <v>45</v>
      </c>
      <c r="C49" s="31" t="s">
        <v>343</v>
      </c>
      <c r="D49" s="31" t="s">
        <v>344</v>
      </c>
      <c r="E49" s="31" t="s">
        <v>141</v>
      </c>
      <c r="F49" s="31" t="s">
        <v>345</v>
      </c>
      <c r="G49" s="28" t="s">
        <v>33</v>
      </c>
      <c r="H49" s="28"/>
      <c r="I49" s="28"/>
      <c r="J49" s="29"/>
    </row>
    <row r="50" spans="1:10" ht="60" customHeight="1" x14ac:dyDescent="0.25">
      <c r="A50" s="30" t="s">
        <v>346</v>
      </c>
      <c r="B50" s="31" t="s">
        <v>45</v>
      </c>
      <c r="C50" s="31" t="s">
        <v>347</v>
      </c>
      <c r="D50" s="31" t="s">
        <v>348</v>
      </c>
      <c r="E50" s="31" t="s">
        <v>141</v>
      </c>
      <c r="F50" s="31" t="s">
        <v>349</v>
      </c>
      <c r="G50" s="28" t="s">
        <v>33</v>
      </c>
      <c r="H50" s="28"/>
      <c r="I50" s="28"/>
      <c r="J50" s="29"/>
    </row>
    <row r="51" spans="1:10" ht="31.5" customHeight="1" x14ac:dyDescent="0.25">
      <c r="A51" s="30" t="s">
        <v>350</v>
      </c>
      <c r="B51" s="31" t="s">
        <v>45</v>
      </c>
      <c r="C51" s="31" t="s">
        <v>221</v>
      </c>
      <c r="D51" s="31" t="s">
        <v>351</v>
      </c>
      <c r="E51" s="31" t="s">
        <v>141</v>
      </c>
      <c r="F51" s="31" t="s">
        <v>352</v>
      </c>
      <c r="G51" s="28" t="s">
        <v>33</v>
      </c>
      <c r="H51" s="28"/>
      <c r="I51" s="28"/>
      <c r="J51" s="29"/>
    </row>
    <row r="52" spans="1:10" ht="45.75" customHeight="1" x14ac:dyDescent="0.25">
      <c r="A52" s="26" t="s">
        <v>353</v>
      </c>
      <c r="B52" s="27" t="s">
        <v>46</v>
      </c>
      <c r="C52" s="27" t="s">
        <v>354</v>
      </c>
      <c r="D52" s="27" t="s">
        <v>355</v>
      </c>
      <c r="E52" s="27" t="s">
        <v>141</v>
      </c>
      <c r="F52" s="27" t="s">
        <v>356</v>
      </c>
      <c r="G52" s="28" t="s">
        <v>33</v>
      </c>
      <c r="H52" s="28"/>
      <c r="I52" s="28"/>
      <c r="J52" s="29"/>
    </row>
    <row r="53" spans="1:10" ht="45.75" customHeight="1" x14ac:dyDescent="0.25">
      <c r="A53" s="26" t="s">
        <v>357</v>
      </c>
      <c r="B53" s="27" t="s">
        <v>46</v>
      </c>
      <c r="C53" s="27" t="s">
        <v>358</v>
      </c>
      <c r="D53" s="27" t="s">
        <v>359</v>
      </c>
      <c r="E53" s="27" t="s">
        <v>141</v>
      </c>
      <c r="F53" s="27" t="s">
        <v>360</v>
      </c>
      <c r="G53" s="28" t="s">
        <v>33</v>
      </c>
      <c r="H53" s="28"/>
      <c r="I53" s="28"/>
      <c r="J53" s="29"/>
    </row>
    <row r="54" spans="1:10" ht="31.5" customHeight="1" x14ac:dyDescent="0.25">
      <c r="A54" s="26" t="s">
        <v>361</v>
      </c>
      <c r="B54" s="27" t="s">
        <v>46</v>
      </c>
      <c r="C54" s="27" t="s">
        <v>362</v>
      </c>
      <c r="D54" s="27" t="s">
        <v>363</v>
      </c>
      <c r="E54" s="27" t="s">
        <v>364</v>
      </c>
      <c r="F54" s="27" t="s">
        <v>365</v>
      </c>
      <c r="G54" s="28" t="s">
        <v>33</v>
      </c>
      <c r="H54" s="28"/>
      <c r="I54" s="28"/>
      <c r="J54" s="29"/>
    </row>
    <row r="55" spans="1:10" ht="45.75" customHeight="1" x14ac:dyDescent="0.25">
      <c r="A55" s="26" t="s">
        <v>366</v>
      </c>
      <c r="B55" s="27" t="s">
        <v>46</v>
      </c>
      <c r="C55" s="27" t="s">
        <v>367</v>
      </c>
      <c r="D55" s="27" t="s">
        <v>368</v>
      </c>
      <c r="E55" s="27" t="s">
        <v>141</v>
      </c>
      <c r="F55" s="27" t="s">
        <v>369</v>
      </c>
      <c r="G55" s="28" t="s">
        <v>33</v>
      </c>
      <c r="H55" s="28"/>
      <c r="I55" s="28"/>
      <c r="J55" s="29"/>
    </row>
    <row r="56" spans="1:10" ht="31.5" customHeight="1" x14ac:dyDescent="0.25">
      <c r="A56" s="26" t="s">
        <v>370</v>
      </c>
      <c r="B56" s="27" t="s">
        <v>46</v>
      </c>
      <c r="C56" s="27" t="s">
        <v>371</v>
      </c>
      <c r="D56" s="27" t="s">
        <v>372</v>
      </c>
      <c r="E56" s="27" t="s">
        <v>373</v>
      </c>
      <c r="F56" s="27" t="s">
        <v>200</v>
      </c>
      <c r="G56" s="28" t="s">
        <v>33</v>
      </c>
      <c r="H56" s="28"/>
      <c r="I56" s="28"/>
      <c r="J56" s="29"/>
    </row>
    <row r="57" spans="1:10" ht="45.75" customHeight="1" x14ac:dyDescent="0.25">
      <c r="A57" s="26" t="s">
        <v>374</v>
      </c>
      <c r="B57" s="27" t="s">
        <v>46</v>
      </c>
      <c r="C57" s="27" t="s">
        <v>375</v>
      </c>
      <c r="D57" s="27" t="s">
        <v>376</v>
      </c>
      <c r="E57" s="27" t="s">
        <v>141</v>
      </c>
      <c r="F57" s="27" t="s">
        <v>377</v>
      </c>
      <c r="G57" s="28" t="s">
        <v>33</v>
      </c>
      <c r="H57" s="28"/>
      <c r="I57" s="28"/>
      <c r="J57" s="29"/>
    </row>
    <row r="58" spans="1:10" ht="31.5" customHeight="1" x14ac:dyDescent="0.25">
      <c r="A58" s="26" t="s">
        <v>378</v>
      </c>
      <c r="B58" s="27" t="s">
        <v>46</v>
      </c>
      <c r="C58" s="27" t="s">
        <v>379</v>
      </c>
      <c r="D58" s="27" t="s">
        <v>380</v>
      </c>
      <c r="E58" s="27" t="s">
        <v>381</v>
      </c>
      <c r="F58" s="27" t="s">
        <v>382</v>
      </c>
      <c r="G58" s="28" t="s">
        <v>33</v>
      </c>
      <c r="H58" s="28"/>
      <c r="I58" s="28"/>
      <c r="J58" s="29"/>
    </row>
    <row r="59" spans="1:10" ht="73.5" customHeight="1" x14ac:dyDescent="0.25">
      <c r="A59" s="30" t="s">
        <v>383</v>
      </c>
      <c r="B59" s="31" t="s">
        <v>47</v>
      </c>
      <c r="C59" s="31" t="s">
        <v>384</v>
      </c>
      <c r="D59" s="31" t="s">
        <v>385</v>
      </c>
      <c r="E59" s="31" t="s">
        <v>141</v>
      </c>
      <c r="F59" s="31" t="s">
        <v>386</v>
      </c>
      <c r="G59" s="28" t="s">
        <v>33</v>
      </c>
      <c r="H59" s="28"/>
      <c r="I59" s="28"/>
      <c r="J59" s="29"/>
    </row>
    <row r="60" spans="1:10" ht="45.75" customHeight="1" x14ac:dyDescent="0.25">
      <c r="A60" s="30" t="s">
        <v>387</v>
      </c>
      <c r="B60" s="31" t="s">
        <v>47</v>
      </c>
      <c r="C60" s="31" t="s">
        <v>388</v>
      </c>
      <c r="D60" s="31" t="s">
        <v>389</v>
      </c>
      <c r="E60" s="31" t="s">
        <v>141</v>
      </c>
      <c r="F60" s="31" t="s">
        <v>390</v>
      </c>
      <c r="G60" s="28" t="s">
        <v>33</v>
      </c>
      <c r="H60" s="28"/>
      <c r="I60" s="28"/>
      <c r="J60" s="29"/>
    </row>
    <row r="61" spans="1:10" ht="60" customHeight="1" x14ac:dyDescent="0.25">
      <c r="A61" s="30" t="s">
        <v>391</v>
      </c>
      <c r="B61" s="31" t="s">
        <v>47</v>
      </c>
      <c r="C61" s="31" t="s">
        <v>392</v>
      </c>
      <c r="D61" s="31" t="s">
        <v>393</v>
      </c>
      <c r="E61" s="31" t="s">
        <v>141</v>
      </c>
      <c r="F61" s="31" t="s">
        <v>394</v>
      </c>
      <c r="G61" s="28" t="s">
        <v>33</v>
      </c>
      <c r="H61" s="28"/>
      <c r="I61" s="28"/>
      <c r="J61" s="29"/>
    </row>
    <row r="62" spans="1:10" ht="31.5" customHeight="1" x14ac:dyDescent="0.25">
      <c r="A62" s="30" t="s">
        <v>395</v>
      </c>
      <c r="B62" s="31" t="s">
        <v>47</v>
      </c>
      <c r="C62" s="31" t="s">
        <v>396</v>
      </c>
      <c r="D62" s="31" t="s">
        <v>397</v>
      </c>
      <c r="E62" s="31" t="s">
        <v>141</v>
      </c>
      <c r="F62" s="31" t="s">
        <v>398</v>
      </c>
      <c r="G62" s="28" t="s">
        <v>33</v>
      </c>
      <c r="H62" s="28"/>
      <c r="I62" s="28"/>
      <c r="J62" s="29"/>
    </row>
    <row r="63" spans="1:10" ht="31.5" customHeight="1" x14ac:dyDescent="0.25">
      <c r="A63" s="26" t="s">
        <v>399</v>
      </c>
      <c r="B63" s="27" t="s">
        <v>48</v>
      </c>
      <c r="C63" s="27" t="s">
        <v>400</v>
      </c>
      <c r="D63" s="27" t="s">
        <v>401</v>
      </c>
      <c r="E63" s="27" t="s">
        <v>402</v>
      </c>
      <c r="F63" s="27" t="s">
        <v>403</v>
      </c>
      <c r="G63" s="28" t="s">
        <v>33</v>
      </c>
      <c r="H63" s="28"/>
      <c r="I63" s="28"/>
      <c r="J63" s="29"/>
    </row>
    <row r="64" spans="1:10" ht="31.5" customHeight="1" x14ac:dyDescent="0.25">
      <c r="A64" s="26" t="s">
        <v>404</v>
      </c>
      <c r="B64" s="27" t="s">
        <v>48</v>
      </c>
      <c r="C64" s="27" t="s">
        <v>405</v>
      </c>
      <c r="D64" s="27" t="s">
        <v>406</v>
      </c>
      <c r="E64" s="27" t="s">
        <v>407</v>
      </c>
      <c r="F64" s="27" t="s">
        <v>408</v>
      </c>
      <c r="G64" s="28" t="s">
        <v>33</v>
      </c>
      <c r="H64" s="28"/>
      <c r="I64" s="28"/>
      <c r="J64" s="29"/>
    </row>
    <row r="65" spans="1:10" ht="31.5" customHeight="1" x14ac:dyDescent="0.25">
      <c r="A65" s="26" t="s">
        <v>409</v>
      </c>
      <c r="B65" s="27" t="s">
        <v>48</v>
      </c>
      <c r="C65" s="27" t="s">
        <v>410</v>
      </c>
      <c r="D65" s="27" t="s">
        <v>411</v>
      </c>
      <c r="E65" s="27" t="s">
        <v>141</v>
      </c>
      <c r="F65" s="27" t="s">
        <v>412</v>
      </c>
      <c r="G65" s="28" t="s">
        <v>33</v>
      </c>
      <c r="H65" s="28"/>
      <c r="I65" s="28"/>
      <c r="J65" s="29"/>
    </row>
    <row r="66" spans="1:10" ht="31.5" customHeight="1" x14ac:dyDescent="0.25">
      <c r="A66" s="26" t="s">
        <v>413</v>
      </c>
      <c r="B66" s="27" t="s">
        <v>48</v>
      </c>
      <c r="C66" s="27" t="s">
        <v>414</v>
      </c>
      <c r="D66" s="27" t="s">
        <v>415</v>
      </c>
      <c r="E66" s="27" t="s">
        <v>416</v>
      </c>
      <c r="F66" s="27" t="s">
        <v>417</v>
      </c>
      <c r="G66" s="28" t="s">
        <v>33</v>
      </c>
      <c r="H66" s="28"/>
      <c r="I66" s="28"/>
      <c r="J66" s="29"/>
    </row>
    <row r="67" spans="1:10" ht="31.5" customHeight="1" x14ac:dyDescent="0.25">
      <c r="A67" s="26" t="s">
        <v>418</v>
      </c>
      <c r="B67" s="27" t="s">
        <v>48</v>
      </c>
      <c r="C67" s="27" t="s">
        <v>419</v>
      </c>
      <c r="D67" s="27" t="s">
        <v>420</v>
      </c>
      <c r="E67" s="27" t="s">
        <v>421</v>
      </c>
      <c r="F67" s="27" t="s">
        <v>422</v>
      </c>
      <c r="G67" s="28" t="s">
        <v>33</v>
      </c>
      <c r="H67" s="28"/>
      <c r="I67" s="28"/>
      <c r="J67" s="29"/>
    </row>
    <row r="68" spans="1:10" ht="31.5" customHeight="1" x14ac:dyDescent="0.25">
      <c r="A68" s="26" t="s">
        <v>423</v>
      </c>
      <c r="B68" s="27" t="s">
        <v>48</v>
      </c>
      <c r="C68" s="27" t="s">
        <v>424</v>
      </c>
      <c r="D68" s="27" t="s">
        <v>425</v>
      </c>
      <c r="E68" s="27" t="s">
        <v>141</v>
      </c>
      <c r="F68" s="27" t="s">
        <v>426</v>
      </c>
      <c r="G68" s="28" t="s">
        <v>33</v>
      </c>
      <c r="H68" s="28"/>
      <c r="I68" s="28"/>
      <c r="J68" s="29"/>
    </row>
    <row r="69" spans="1:10" ht="31.5" customHeight="1" x14ac:dyDescent="0.25">
      <c r="A69" s="26" t="s">
        <v>427</v>
      </c>
      <c r="B69" s="27" t="s">
        <v>48</v>
      </c>
      <c r="C69" s="27" t="s">
        <v>428</v>
      </c>
      <c r="D69" s="27" t="s">
        <v>429</v>
      </c>
      <c r="E69" s="27" t="s">
        <v>141</v>
      </c>
      <c r="F69" s="27" t="s">
        <v>430</v>
      </c>
      <c r="G69" s="28" t="s">
        <v>33</v>
      </c>
      <c r="H69" s="28"/>
      <c r="I69" s="28"/>
      <c r="J69" s="29"/>
    </row>
    <row r="70" spans="1:10" ht="31.5" customHeight="1" x14ac:dyDescent="0.25">
      <c r="A70" s="26" t="s">
        <v>431</v>
      </c>
      <c r="B70" s="27" t="s">
        <v>48</v>
      </c>
      <c r="C70" s="27" t="s">
        <v>432</v>
      </c>
      <c r="D70" s="27" t="s">
        <v>433</v>
      </c>
      <c r="E70" s="27" t="s">
        <v>434</v>
      </c>
      <c r="F70" s="27" t="s">
        <v>435</v>
      </c>
      <c r="G70" s="28" t="s">
        <v>33</v>
      </c>
      <c r="H70" s="28"/>
      <c r="I70" s="28"/>
      <c r="J70" s="29"/>
    </row>
    <row r="71" spans="1:10" ht="31.5" customHeight="1" x14ac:dyDescent="0.25">
      <c r="A71" s="26" t="s">
        <v>436</v>
      </c>
      <c r="B71" s="27" t="s">
        <v>48</v>
      </c>
      <c r="C71" s="27" t="s">
        <v>437</v>
      </c>
      <c r="D71" s="27" t="s">
        <v>438</v>
      </c>
      <c r="E71" s="27" t="s">
        <v>141</v>
      </c>
      <c r="F71" s="27" t="s">
        <v>439</v>
      </c>
      <c r="G71" s="28" t="s">
        <v>33</v>
      </c>
      <c r="H71" s="28"/>
      <c r="I71" s="28"/>
      <c r="J71" s="29"/>
    </row>
  </sheetData>
  <autoFilter ref="A1:J71" xr:uid="{00000000-0009-0000-0000-000003000000}"/>
  <conditionalFormatting sqref="G2:G71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1">
    <dataValidation type="list" errorTitle="Status" error="Choose Not run, Pass, Fail or Blocked." sqref="G2:G71" xr:uid="{00000000-0002-0000-03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0" customWidth="1"/>
    <col min="3" max="3" width="11" customWidth="1"/>
    <col min="4" max="5" width="45" customWidth="1"/>
    <col min="6" max="6" width="35" customWidth="1"/>
    <col min="7" max="7" width="14" customWidth="1"/>
    <col min="8" max="8" width="20" customWidth="1"/>
  </cols>
  <sheetData>
    <row r="1" spans="1:8" x14ac:dyDescent="0.25">
      <c r="A1" s="18" t="s">
        <v>440</v>
      </c>
      <c r="B1" s="18" t="s">
        <v>441</v>
      </c>
      <c r="C1" s="18" t="s">
        <v>442</v>
      </c>
      <c r="D1" s="18" t="s">
        <v>443</v>
      </c>
      <c r="E1" s="18" t="s">
        <v>444</v>
      </c>
      <c r="F1" s="18" t="s">
        <v>55</v>
      </c>
      <c r="G1" s="18" t="s">
        <v>21</v>
      </c>
      <c r="H1" s="18" t="s">
        <v>445</v>
      </c>
    </row>
    <row r="2" spans="1:8" ht="43.5" customHeight="1" x14ac:dyDescent="0.25">
      <c r="A2" s="32" t="s">
        <v>446</v>
      </c>
      <c r="B2" s="32" t="s">
        <v>292</v>
      </c>
      <c r="C2" s="32" t="s">
        <v>447</v>
      </c>
      <c r="D2" s="32" t="s">
        <v>448</v>
      </c>
      <c r="E2" s="32" t="s">
        <v>449</v>
      </c>
      <c r="F2" s="32" t="s">
        <v>450</v>
      </c>
      <c r="G2" s="32" t="s">
        <v>451</v>
      </c>
      <c r="H2" s="32"/>
    </row>
    <row r="3" spans="1:8" x14ac:dyDescent="0.25">
      <c r="A3" s="28"/>
      <c r="B3" s="28"/>
      <c r="C3" s="28"/>
      <c r="D3" s="28"/>
      <c r="E3" s="28"/>
      <c r="F3" s="28"/>
      <c r="G3" s="28"/>
      <c r="H3" s="28"/>
    </row>
    <row r="4" spans="1:8" x14ac:dyDescent="0.25">
      <c r="A4" s="28"/>
      <c r="B4" s="28"/>
      <c r="C4" s="28"/>
      <c r="D4" s="28"/>
      <c r="E4" s="28"/>
      <c r="F4" s="28"/>
      <c r="G4" s="28"/>
      <c r="H4" s="28"/>
    </row>
    <row r="5" spans="1:8" x14ac:dyDescent="0.25">
      <c r="A5" s="28"/>
      <c r="B5" s="28"/>
      <c r="C5" s="28"/>
      <c r="D5" s="28"/>
      <c r="E5" s="28"/>
      <c r="F5" s="28"/>
      <c r="G5" s="28"/>
      <c r="H5" s="28"/>
    </row>
    <row r="6" spans="1:8" x14ac:dyDescent="0.25">
      <c r="A6" s="28"/>
      <c r="B6" s="28"/>
      <c r="C6" s="28"/>
      <c r="D6" s="28"/>
      <c r="E6" s="28"/>
      <c r="F6" s="28"/>
      <c r="G6" s="28"/>
      <c r="H6" s="28"/>
    </row>
    <row r="7" spans="1:8" x14ac:dyDescent="0.25">
      <c r="A7" s="28"/>
      <c r="B7" s="28"/>
      <c r="C7" s="28"/>
      <c r="D7" s="28"/>
      <c r="E7" s="28"/>
      <c r="F7" s="28"/>
      <c r="G7" s="28"/>
      <c r="H7" s="28"/>
    </row>
    <row r="8" spans="1:8" x14ac:dyDescent="0.25">
      <c r="A8" s="28"/>
      <c r="B8" s="28"/>
      <c r="C8" s="28"/>
      <c r="D8" s="28"/>
      <c r="E8" s="28"/>
      <c r="F8" s="28"/>
      <c r="G8" s="28"/>
      <c r="H8" s="28"/>
    </row>
    <row r="9" spans="1:8" x14ac:dyDescent="0.25">
      <c r="A9" s="28"/>
      <c r="B9" s="28"/>
      <c r="C9" s="28"/>
      <c r="D9" s="28"/>
      <c r="E9" s="28"/>
      <c r="F9" s="28"/>
      <c r="G9" s="28"/>
      <c r="H9" s="28"/>
    </row>
    <row r="10" spans="1:8" x14ac:dyDescent="0.25">
      <c r="A10" s="28"/>
      <c r="B10" s="28"/>
      <c r="C10" s="28"/>
      <c r="D10" s="28"/>
      <c r="E10" s="28"/>
      <c r="F10" s="28"/>
      <c r="G10" s="28"/>
      <c r="H10" s="28"/>
    </row>
    <row r="11" spans="1:8" x14ac:dyDescent="0.25">
      <c r="A11" s="28"/>
      <c r="B11" s="28"/>
      <c r="C11" s="28"/>
      <c r="D11" s="28"/>
      <c r="E11" s="28"/>
      <c r="F11" s="28"/>
      <c r="G11" s="28"/>
      <c r="H11" s="28"/>
    </row>
    <row r="12" spans="1:8" x14ac:dyDescent="0.25">
      <c r="A12" s="28"/>
      <c r="B12" s="28"/>
      <c r="C12" s="28"/>
      <c r="D12" s="28"/>
      <c r="E12" s="28"/>
      <c r="F12" s="28"/>
      <c r="G12" s="28"/>
      <c r="H12" s="28"/>
    </row>
    <row r="13" spans="1:8" x14ac:dyDescent="0.25">
      <c r="A13" s="28"/>
      <c r="B13" s="28"/>
      <c r="C13" s="28"/>
      <c r="D13" s="28"/>
      <c r="E13" s="28"/>
      <c r="F13" s="28"/>
      <c r="G13" s="28"/>
      <c r="H13" s="28"/>
    </row>
    <row r="14" spans="1:8" x14ac:dyDescent="0.25">
      <c r="A14" s="28"/>
      <c r="B14" s="28"/>
      <c r="C14" s="28"/>
      <c r="D14" s="28"/>
      <c r="E14" s="28"/>
      <c r="F14" s="28"/>
      <c r="G14" s="28"/>
      <c r="H14" s="28"/>
    </row>
    <row r="15" spans="1:8" x14ac:dyDescent="0.25">
      <c r="A15" s="28"/>
      <c r="B15" s="28"/>
      <c r="C15" s="28"/>
      <c r="D15" s="28"/>
      <c r="E15" s="28"/>
      <c r="F15" s="28"/>
      <c r="G15" s="28"/>
      <c r="H15" s="28"/>
    </row>
    <row r="16" spans="1:8" x14ac:dyDescent="0.25">
      <c r="A16" s="28"/>
      <c r="B16" s="28"/>
      <c r="C16" s="28"/>
      <c r="D16" s="28"/>
      <c r="E16" s="28"/>
      <c r="F16" s="28"/>
      <c r="G16" s="28"/>
      <c r="H16" s="28"/>
    </row>
    <row r="17" spans="1:8" x14ac:dyDescent="0.25">
      <c r="A17" s="28"/>
      <c r="B17" s="28"/>
      <c r="C17" s="28"/>
      <c r="D17" s="28"/>
      <c r="E17" s="28"/>
      <c r="F17" s="28"/>
      <c r="G17" s="28"/>
      <c r="H17" s="28"/>
    </row>
    <row r="18" spans="1:8" x14ac:dyDescent="0.25">
      <c r="A18" s="28"/>
      <c r="B18" s="28"/>
      <c r="C18" s="28"/>
      <c r="D18" s="28"/>
      <c r="E18" s="28"/>
      <c r="F18" s="28"/>
      <c r="G18" s="28"/>
      <c r="H18" s="28"/>
    </row>
    <row r="19" spans="1:8" x14ac:dyDescent="0.25">
      <c r="A19" s="28"/>
      <c r="B19" s="28"/>
      <c r="C19" s="28"/>
      <c r="D19" s="28"/>
      <c r="E19" s="28"/>
      <c r="F19" s="28"/>
      <c r="G19" s="28"/>
      <c r="H19" s="28"/>
    </row>
    <row r="20" spans="1:8" x14ac:dyDescent="0.25">
      <c r="A20" s="28"/>
      <c r="B20" s="28"/>
      <c r="C20" s="28"/>
      <c r="D20" s="28"/>
      <c r="E20" s="28"/>
      <c r="F20" s="28"/>
      <c r="G20" s="28"/>
      <c r="H20" s="28"/>
    </row>
    <row r="21" spans="1:8" x14ac:dyDescent="0.25">
      <c r="A21" s="28"/>
      <c r="B21" s="28"/>
      <c r="C21" s="28"/>
      <c r="D21" s="28"/>
      <c r="E21" s="28"/>
      <c r="F21" s="28"/>
      <c r="G21" s="28"/>
      <c r="H21" s="28"/>
    </row>
    <row r="22" spans="1:8" x14ac:dyDescent="0.25">
      <c r="A22" s="28"/>
      <c r="B22" s="28"/>
      <c r="C22" s="28"/>
      <c r="D22" s="28"/>
      <c r="E22" s="28"/>
      <c r="F22" s="28"/>
      <c r="G22" s="28"/>
      <c r="H22" s="28"/>
    </row>
    <row r="23" spans="1:8" x14ac:dyDescent="0.25">
      <c r="A23" s="28"/>
      <c r="B23" s="28"/>
      <c r="C23" s="28"/>
      <c r="D23" s="28"/>
      <c r="E23" s="28"/>
      <c r="F23" s="28"/>
      <c r="G23" s="28"/>
      <c r="H23" s="28"/>
    </row>
    <row r="24" spans="1:8" x14ac:dyDescent="0.25">
      <c r="A24" s="28"/>
      <c r="B24" s="28"/>
      <c r="C24" s="28"/>
      <c r="D24" s="28"/>
      <c r="E24" s="28"/>
      <c r="F24" s="28"/>
      <c r="G24" s="28"/>
      <c r="H24" s="28"/>
    </row>
    <row r="25" spans="1:8" x14ac:dyDescent="0.25">
      <c r="A25" s="28"/>
      <c r="B25" s="28"/>
      <c r="C25" s="28"/>
      <c r="D25" s="28"/>
      <c r="E25" s="28"/>
      <c r="F25" s="28"/>
      <c r="G25" s="28"/>
      <c r="H25" s="28"/>
    </row>
    <row r="26" spans="1:8" x14ac:dyDescent="0.25">
      <c r="A26" s="28"/>
      <c r="B26" s="28"/>
      <c r="C26" s="28"/>
      <c r="D26" s="28"/>
      <c r="E26" s="28"/>
      <c r="F26" s="28"/>
      <c r="G26" s="28"/>
      <c r="H26" s="28"/>
    </row>
    <row r="27" spans="1:8" x14ac:dyDescent="0.25">
      <c r="A27" s="28"/>
      <c r="B27" s="28"/>
      <c r="C27" s="28"/>
      <c r="D27" s="28"/>
      <c r="E27" s="28"/>
      <c r="F27" s="28"/>
      <c r="G27" s="28"/>
      <c r="H27" s="28"/>
    </row>
    <row r="28" spans="1:8" x14ac:dyDescent="0.25">
      <c r="A28" s="28"/>
      <c r="B28" s="28"/>
      <c r="C28" s="28"/>
      <c r="D28" s="28"/>
      <c r="E28" s="28"/>
      <c r="F28" s="28"/>
      <c r="G28" s="28"/>
      <c r="H28" s="28"/>
    </row>
    <row r="29" spans="1:8" x14ac:dyDescent="0.25">
      <c r="A29" s="28"/>
      <c r="B29" s="28"/>
      <c r="C29" s="28"/>
      <c r="D29" s="28"/>
      <c r="E29" s="28"/>
      <c r="F29" s="28"/>
      <c r="G29" s="28"/>
      <c r="H29" s="28"/>
    </row>
    <row r="30" spans="1:8" x14ac:dyDescent="0.25">
      <c r="A30" s="28"/>
      <c r="B30" s="28"/>
      <c r="C30" s="28"/>
      <c r="D30" s="28"/>
      <c r="E30" s="28"/>
      <c r="F30" s="28"/>
      <c r="G30" s="28"/>
      <c r="H30" s="28"/>
    </row>
    <row r="31" spans="1:8" x14ac:dyDescent="0.25">
      <c r="A31" s="28"/>
      <c r="B31" s="28"/>
      <c r="C31" s="28"/>
      <c r="D31" s="28"/>
      <c r="E31" s="28"/>
      <c r="F31" s="28"/>
      <c r="G31" s="28"/>
      <c r="H31" s="28"/>
    </row>
    <row r="32" spans="1:8" x14ac:dyDescent="0.25">
      <c r="A32" s="28"/>
      <c r="B32" s="28"/>
      <c r="C32" s="28"/>
      <c r="D32" s="28"/>
      <c r="E32" s="28"/>
      <c r="F32" s="28"/>
      <c r="G32" s="28"/>
      <c r="H32" s="28"/>
    </row>
    <row r="33" spans="1:8" x14ac:dyDescent="0.25">
      <c r="A33" s="28"/>
      <c r="B33" s="28"/>
      <c r="C33" s="28"/>
      <c r="D33" s="28"/>
      <c r="E33" s="28"/>
      <c r="F33" s="28"/>
      <c r="G33" s="28"/>
      <c r="H33" s="28"/>
    </row>
    <row r="34" spans="1:8" x14ac:dyDescent="0.25">
      <c r="A34" s="28"/>
      <c r="B34" s="28"/>
      <c r="C34" s="28"/>
      <c r="D34" s="28"/>
      <c r="E34" s="28"/>
      <c r="F34" s="28"/>
      <c r="G34" s="28"/>
      <c r="H34" s="28"/>
    </row>
    <row r="35" spans="1:8" x14ac:dyDescent="0.25">
      <c r="A35" s="28"/>
      <c r="B35" s="28"/>
      <c r="C35" s="28"/>
      <c r="D35" s="28"/>
      <c r="E35" s="28"/>
      <c r="F35" s="28"/>
      <c r="G35" s="28"/>
      <c r="H35" s="28"/>
    </row>
    <row r="36" spans="1:8" x14ac:dyDescent="0.25">
      <c r="A36" s="28"/>
      <c r="B36" s="28"/>
      <c r="C36" s="28"/>
      <c r="D36" s="28"/>
      <c r="E36" s="28"/>
      <c r="F36" s="28"/>
      <c r="G36" s="28"/>
      <c r="H36" s="28"/>
    </row>
    <row r="37" spans="1:8" x14ac:dyDescent="0.25">
      <c r="A37" s="28"/>
      <c r="B37" s="28"/>
      <c r="C37" s="28"/>
      <c r="D37" s="28"/>
      <c r="E37" s="28"/>
      <c r="F37" s="28"/>
      <c r="G37" s="28"/>
      <c r="H37" s="28"/>
    </row>
    <row r="38" spans="1:8" x14ac:dyDescent="0.25">
      <c r="A38" s="28"/>
      <c r="B38" s="28"/>
      <c r="C38" s="28"/>
      <c r="D38" s="28"/>
      <c r="E38" s="28"/>
      <c r="F38" s="28"/>
      <c r="G38" s="28"/>
      <c r="H38" s="28"/>
    </row>
    <row r="39" spans="1:8" x14ac:dyDescent="0.25">
      <c r="A39" s="28"/>
      <c r="B39" s="28"/>
      <c r="C39" s="28"/>
      <c r="D39" s="28"/>
      <c r="E39" s="28"/>
      <c r="F39" s="28"/>
      <c r="G39" s="28"/>
      <c r="H39" s="28"/>
    </row>
    <row r="40" spans="1:8" x14ac:dyDescent="0.25">
      <c r="A40" s="28"/>
      <c r="B40" s="28"/>
      <c r="C40" s="28"/>
      <c r="D40" s="28"/>
      <c r="E40" s="28"/>
      <c r="F40" s="28"/>
      <c r="G40" s="28"/>
      <c r="H40" s="28"/>
    </row>
    <row r="41" spans="1:8" x14ac:dyDescent="0.25">
      <c r="A41" s="28"/>
      <c r="B41" s="28"/>
      <c r="C41" s="28"/>
      <c r="D41" s="28"/>
      <c r="E41" s="28"/>
      <c r="F41" s="28"/>
      <c r="G41" s="28"/>
      <c r="H41" s="28"/>
    </row>
    <row r="42" spans="1:8" x14ac:dyDescent="0.25">
      <c r="A42" s="28"/>
      <c r="B42" s="28"/>
      <c r="C42" s="28"/>
      <c r="D42" s="28"/>
      <c r="E42" s="28"/>
      <c r="F42" s="28"/>
      <c r="G42" s="28"/>
      <c r="H42" s="28"/>
    </row>
    <row r="43" spans="1:8" x14ac:dyDescent="0.25">
      <c r="A43" s="28"/>
      <c r="B43" s="28"/>
      <c r="C43" s="28"/>
      <c r="D43" s="28"/>
      <c r="E43" s="28"/>
      <c r="F43" s="28"/>
      <c r="G43" s="28"/>
      <c r="H43" s="28"/>
    </row>
    <row r="44" spans="1:8" x14ac:dyDescent="0.25">
      <c r="A44" s="28"/>
      <c r="B44" s="28"/>
      <c r="C44" s="28"/>
      <c r="D44" s="28"/>
      <c r="E44" s="28"/>
      <c r="F44" s="28"/>
      <c r="G44" s="28"/>
      <c r="H44" s="28"/>
    </row>
    <row r="45" spans="1:8" x14ac:dyDescent="0.25">
      <c r="A45" s="28"/>
      <c r="B45" s="28"/>
      <c r="C45" s="28"/>
      <c r="D45" s="28"/>
      <c r="E45" s="28"/>
      <c r="F45" s="28"/>
      <c r="G45" s="28"/>
      <c r="H45" s="28"/>
    </row>
    <row r="46" spans="1:8" x14ac:dyDescent="0.25">
      <c r="A46" s="28"/>
      <c r="B46" s="28"/>
      <c r="C46" s="28"/>
      <c r="D46" s="28"/>
      <c r="E46" s="28"/>
      <c r="F46" s="28"/>
      <c r="G46" s="28"/>
      <c r="H46" s="28"/>
    </row>
    <row r="47" spans="1:8" x14ac:dyDescent="0.25">
      <c r="A47" s="28"/>
      <c r="B47" s="28"/>
      <c r="C47" s="28"/>
      <c r="D47" s="28"/>
      <c r="E47" s="28"/>
      <c r="F47" s="28"/>
      <c r="G47" s="28"/>
      <c r="H47" s="28"/>
    </row>
    <row r="48" spans="1:8" x14ac:dyDescent="0.25">
      <c r="A48" s="28"/>
      <c r="B48" s="28"/>
      <c r="C48" s="28"/>
      <c r="D48" s="28"/>
      <c r="E48" s="28"/>
      <c r="F48" s="28"/>
      <c r="G48" s="28"/>
      <c r="H48" s="28"/>
    </row>
    <row r="49" spans="1:8" x14ac:dyDescent="0.25">
      <c r="A49" s="28"/>
      <c r="B49" s="28"/>
      <c r="C49" s="28"/>
      <c r="D49" s="28"/>
      <c r="E49" s="28"/>
      <c r="F49" s="28"/>
      <c r="G49" s="28"/>
      <c r="H49" s="28"/>
    </row>
    <row r="50" spans="1:8" x14ac:dyDescent="0.25">
      <c r="A50" s="28"/>
      <c r="B50" s="28"/>
      <c r="C50" s="28"/>
      <c r="D50" s="28"/>
      <c r="E50" s="28"/>
      <c r="F50" s="28"/>
      <c r="G50" s="28"/>
      <c r="H50" s="28"/>
    </row>
    <row r="51" spans="1:8" x14ac:dyDescent="0.25">
      <c r="A51" s="28"/>
      <c r="B51" s="28"/>
      <c r="C51" s="28"/>
      <c r="D51" s="28"/>
      <c r="E51" s="28"/>
      <c r="F51" s="28"/>
      <c r="G51" s="28"/>
      <c r="H51" s="28"/>
    </row>
    <row r="52" spans="1:8" x14ac:dyDescent="0.25">
      <c r="A52" s="28"/>
      <c r="B52" s="28"/>
      <c r="C52" s="28"/>
      <c r="D52" s="28"/>
      <c r="E52" s="28"/>
      <c r="F52" s="28"/>
      <c r="G52" s="28"/>
      <c r="H52" s="28"/>
    </row>
    <row r="53" spans="1:8" x14ac:dyDescent="0.25">
      <c r="A53" s="28"/>
      <c r="B53" s="28"/>
      <c r="C53" s="28"/>
      <c r="D53" s="28"/>
      <c r="E53" s="28"/>
      <c r="F53" s="28"/>
      <c r="G53" s="28"/>
      <c r="H53" s="28"/>
    </row>
    <row r="54" spans="1:8" x14ac:dyDescent="0.25">
      <c r="A54" s="28"/>
      <c r="B54" s="28"/>
      <c r="C54" s="28"/>
      <c r="D54" s="28"/>
      <c r="E54" s="28"/>
      <c r="F54" s="28"/>
      <c r="G54" s="28"/>
      <c r="H54" s="28"/>
    </row>
    <row r="55" spans="1:8" x14ac:dyDescent="0.25">
      <c r="A55" s="28"/>
      <c r="B55" s="28"/>
      <c r="C55" s="28"/>
      <c r="D55" s="28"/>
      <c r="E55" s="28"/>
      <c r="F55" s="28"/>
      <c r="G55" s="28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28"/>
      <c r="B57" s="28"/>
      <c r="C57" s="28"/>
      <c r="D57" s="28"/>
      <c r="E57" s="28"/>
      <c r="F57" s="28"/>
      <c r="G57" s="28"/>
      <c r="H57" s="28"/>
    </row>
    <row r="58" spans="1:8" x14ac:dyDescent="0.25">
      <c r="A58" s="28"/>
      <c r="B58" s="28"/>
      <c r="C58" s="28"/>
      <c r="D58" s="28"/>
      <c r="E58" s="28"/>
      <c r="F58" s="28"/>
      <c r="G58" s="28"/>
      <c r="H58" s="28"/>
    </row>
    <row r="59" spans="1:8" x14ac:dyDescent="0.25">
      <c r="A59" s="28"/>
      <c r="B59" s="28"/>
      <c r="C59" s="28"/>
      <c r="D59" s="28"/>
      <c r="E59" s="28"/>
      <c r="F59" s="28"/>
      <c r="G59" s="28"/>
      <c r="H59" s="28"/>
    </row>
    <row r="60" spans="1:8" x14ac:dyDescent="0.25">
      <c r="A60" s="28"/>
      <c r="B60" s="28"/>
      <c r="C60" s="28"/>
      <c r="D60" s="28"/>
      <c r="E60" s="28"/>
      <c r="F60" s="28"/>
      <c r="G60" s="28"/>
      <c r="H60" s="28"/>
    </row>
    <row r="61" spans="1:8" x14ac:dyDescent="0.25">
      <c r="A61" s="28"/>
      <c r="B61" s="28"/>
      <c r="C61" s="28"/>
      <c r="D61" s="28"/>
      <c r="E61" s="28"/>
      <c r="F61" s="28"/>
      <c r="G61" s="28"/>
      <c r="H61" s="28"/>
    </row>
    <row r="62" spans="1:8" x14ac:dyDescent="0.25">
      <c r="A62" s="28"/>
      <c r="B62" s="28"/>
      <c r="C62" s="28"/>
      <c r="D62" s="28"/>
      <c r="E62" s="28"/>
      <c r="F62" s="28"/>
      <c r="G62" s="28"/>
      <c r="H62" s="28"/>
    </row>
    <row r="63" spans="1:8" x14ac:dyDescent="0.25">
      <c r="A63" s="28"/>
      <c r="B63" s="28"/>
      <c r="C63" s="28"/>
      <c r="D63" s="28"/>
      <c r="E63" s="28"/>
      <c r="F63" s="28"/>
      <c r="G63" s="28"/>
      <c r="H63" s="28"/>
    </row>
    <row r="64" spans="1:8" x14ac:dyDescent="0.25">
      <c r="A64" s="28"/>
      <c r="B64" s="28"/>
      <c r="C64" s="28"/>
      <c r="D64" s="28"/>
      <c r="E64" s="28"/>
      <c r="F64" s="28"/>
      <c r="G64" s="28"/>
      <c r="H64" s="28"/>
    </row>
    <row r="65" spans="1:8" x14ac:dyDescent="0.25">
      <c r="A65" s="28"/>
      <c r="B65" s="28"/>
      <c r="C65" s="28"/>
      <c r="D65" s="28"/>
      <c r="E65" s="28"/>
      <c r="F65" s="28"/>
      <c r="G65" s="28"/>
      <c r="H65" s="28"/>
    </row>
    <row r="66" spans="1:8" x14ac:dyDescent="0.25">
      <c r="A66" s="28"/>
      <c r="B66" s="28"/>
      <c r="C66" s="28"/>
      <c r="D66" s="28"/>
      <c r="E66" s="28"/>
      <c r="F66" s="28"/>
      <c r="G66" s="28"/>
      <c r="H66" s="28"/>
    </row>
    <row r="67" spans="1:8" x14ac:dyDescent="0.25">
      <c r="A67" s="28"/>
      <c r="B67" s="28"/>
      <c r="C67" s="28"/>
      <c r="D67" s="28"/>
      <c r="E67" s="28"/>
      <c r="F67" s="28"/>
      <c r="G67" s="28"/>
      <c r="H67" s="28"/>
    </row>
    <row r="68" spans="1:8" x14ac:dyDescent="0.25">
      <c r="A68" s="28"/>
      <c r="B68" s="28"/>
      <c r="C68" s="28"/>
      <c r="D68" s="28"/>
      <c r="E68" s="28"/>
      <c r="F68" s="28"/>
      <c r="G68" s="28"/>
      <c r="H68" s="28"/>
    </row>
    <row r="69" spans="1:8" x14ac:dyDescent="0.25">
      <c r="A69" s="28"/>
      <c r="B69" s="28"/>
      <c r="C69" s="28"/>
      <c r="D69" s="28"/>
      <c r="E69" s="28"/>
      <c r="F69" s="28"/>
      <c r="G69" s="28"/>
      <c r="H69" s="28"/>
    </row>
    <row r="70" spans="1:8" x14ac:dyDescent="0.25">
      <c r="A70" s="28"/>
      <c r="B70" s="28"/>
      <c r="C70" s="28"/>
      <c r="D70" s="28"/>
      <c r="E70" s="28"/>
      <c r="F70" s="28"/>
      <c r="G70" s="28"/>
      <c r="H70" s="28"/>
    </row>
    <row r="71" spans="1:8" x14ac:dyDescent="0.25">
      <c r="A71" s="28"/>
      <c r="B71" s="28"/>
      <c r="C71" s="28"/>
      <c r="D71" s="28"/>
      <c r="E71" s="28"/>
      <c r="F71" s="28"/>
      <c r="G71" s="28"/>
      <c r="H71" s="28"/>
    </row>
    <row r="72" spans="1:8" x14ac:dyDescent="0.25">
      <c r="A72" s="28"/>
      <c r="B72" s="28"/>
      <c r="C72" s="28"/>
      <c r="D72" s="28"/>
      <c r="E72" s="28"/>
      <c r="F72" s="28"/>
      <c r="G72" s="28"/>
      <c r="H72" s="28"/>
    </row>
    <row r="73" spans="1:8" x14ac:dyDescent="0.25">
      <c r="A73" s="28"/>
      <c r="B73" s="28"/>
      <c r="C73" s="28"/>
      <c r="D73" s="28"/>
      <c r="E73" s="28"/>
      <c r="F73" s="28"/>
      <c r="G73" s="28"/>
      <c r="H73" s="28"/>
    </row>
    <row r="74" spans="1:8" x14ac:dyDescent="0.25">
      <c r="A74" s="28"/>
      <c r="B74" s="28"/>
      <c r="C74" s="28"/>
      <c r="D74" s="28"/>
      <c r="E74" s="28"/>
      <c r="F74" s="28"/>
      <c r="G74" s="28"/>
      <c r="H74" s="28"/>
    </row>
    <row r="75" spans="1:8" x14ac:dyDescent="0.25">
      <c r="A75" s="28"/>
      <c r="B75" s="28"/>
      <c r="C75" s="28"/>
      <c r="D75" s="28"/>
      <c r="E75" s="28"/>
      <c r="F75" s="28"/>
      <c r="G75" s="28"/>
      <c r="H75" s="28"/>
    </row>
    <row r="76" spans="1:8" x14ac:dyDescent="0.25">
      <c r="A76" s="28"/>
      <c r="B76" s="28"/>
      <c r="C76" s="28"/>
      <c r="D76" s="28"/>
      <c r="E76" s="28"/>
      <c r="F76" s="28"/>
      <c r="G76" s="28"/>
      <c r="H76" s="28"/>
    </row>
    <row r="77" spans="1:8" x14ac:dyDescent="0.25">
      <c r="A77" s="28"/>
      <c r="B77" s="28"/>
      <c r="C77" s="28"/>
      <c r="D77" s="28"/>
      <c r="E77" s="28"/>
      <c r="F77" s="28"/>
      <c r="G77" s="28"/>
      <c r="H77" s="28"/>
    </row>
    <row r="78" spans="1:8" x14ac:dyDescent="0.25">
      <c r="A78" s="28"/>
      <c r="B78" s="28"/>
      <c r="C78" s="28"/>
      <c r="D78" s="28"/>
      <c r="E78" s="28"/>
      <c r="F78" s="28"/>
      <c r="G78" s="28"/>
      <c r="H78" s="28"/>
    </row>
    <row r="79" spans="1:8" x14ac:dyDescent="0.25">
      <c r="A79" s="28"/>
      <c r="B79" s="28"/>
      <c r="C79" s="28"/>
      <c r="D79" s="28"/>
      <c r="E79" s="28"/>
      <c r="F79" s="28"/>
      <c r="G79" s="28"/>
      <c r="H79" s="28"/>
    </row>
    <row r="80" spans="1:8" x14ac:dyDescent="0.25">
      <c r="A80" s="28"/>
      <c r="B80" s="28"/>
      <c r="C80" s="28"/>
      <c r="D80" s="28"/>
      <c r="E80" s="28"/>
      <c r="F80" s="28"/>
      <c r="G80" s="28"/>
      <c r="H80" s="28"/>
    </row>
    <row r="81" spans="1:8" x14ac:dyDescent="0.25">
      <c r="A81" s="28"/>
      <c r="B81" s="28"/>
      <c r="C81" s="28"/>
      <c r="D81" s="28"/>
      <c r="E81" s="28"/>
      <c r="F81" s="28"/>
      <c r="G81" s="28"/>
      <c r="H81" s="28"/>
    </row>
    <row r="82" spans="1:8" x14ac:dyDescent="0.25">
      <c r="A82" s="28"/>
      <c r="B82" s="28"/>
      <c r="C82" s="28"/>
      <c r="D82" s="28"/>
      <c r="E82" s="28"/>
      <c r="F82" s="28"/>
      <c r="G82" s="28"/>
      <c r="H82" s="28"/>
    </row>
    <row r="83" spans="1:8" x14ac:dyDescent="0.25">
      <c r="A83" s="28"/>
      <c r="B83" s="28"/>
      <c r="C83" s="28"/>
      <c r="D83" s="28"/>
      <c r="E83" s="28"/>
      <c r="F83" s="28"/>
      <c r="G83" s="28"/>
      <c r="H83" s="28"/>
    </row>
    <row r="84" spans="1:8" x14ac:dyDescent="0.25">
      <c r="A84" s="28"/>
      <c r="B84" s="28"/>
      <c r="C84" s="28"/>
      <c r="D84" s="28"/>
      <c r="E84" s="28"/>
      <c r="F84" s="28"/>
      <c r="G84" s="28"/>
      <c r="H84" s="28"/>
    </row>
    <row r="85" spans="1:8" x14ac:dyDescent="0.25">
      <c r="A85" s="28"/>
      <c r="B85" s="28"/>
      <c r="C85" s="28"/>
      <c r="D85" s="28"/>
      <c r="E85" s="28"/>
      <c r="F85" s="28"/>
      <c r="G85" s="28"/>
      <c r="H85" s="28"/>
    </row>
    <row r="86" spans="1:8" x14ac:dyDescent="0.25">
      <c r="A86" s="28"/>
      <c r="B86" s="28"/>
      <c r="C86" s="28"/>
      <c r="D86" s="28"/>
      <c r="E86" s="28"/>
      <c r="F86" s="28"/>
      <c r="G86" s="28"/>
      <c r="H86" s="28"/>
    </row>
    <row r="87" spans="1:8" x14ac:dyDescent="0.25">
      <c r="A87" s="28"/>
      <c r="B87" s="28"/>
      <c r="C87" s="28"/>
      <c r="D87" s="28"/>
      <c r="E87" s="28"/>
      <c r="F87" s="28"/>
      <c r="G87" s="28"/>
      <c r="H87" s="28"/>
    </row>
    <row r="88" spans="1:8" x14ac:dyDescent="0.25">
      <c r="A88" s="28"/>
      <c r="B88" s="28"/>
      <c r="C88" s="28"/>
      <c r="D88" s="28"/>
      <c r="E88" s="28"/>
      <c r="F88" s="28"/>
      <c r="G88" s="28"/>
      <c r="H88" s="28"/>
    </row>
    <row r="89" spans="1:8" x14ac:dyDescent="0.25">
      <c r="A89" s="28"/>
      <c r="B89" s="28"/>
      <c r="C89" s="28"/>
      <c r="D89" s="28"/>
      <c r="E89" s="28"/>
      <c r="F89" s="28"/>
      <c r="G89" s="28"/>
      <c r="H89" s="28"/>
    </row>
    <row r="90" spans="1:8" x14ac:dyDescent="0.25">
      <c r="A90" s="28"/>
      <c r="B90" s="28"/>
      <c r="C90" s="28"/>
      <c r="D90" s="28"/>
      <c r="E90" s="28"/>
      <c r="F90" s="28"/>
      <c r="G90" s="28"/>
      <c r="H90" s="28"/>
    </row>
    <row r="91" spans="1:8" x14ac:dyDescent="0.25">
      <c r="A91" s="28"/>
      <c r="B91" s="28"/>
      <c r="C91" s="28"/>
      <c r="D91" s="28"/>
      <c r="E91" s="28"/>
      <c r="F91" s="28"/>
      <c r="G91" s="28"/>
      <c r="H91" s="28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x14ac:dyDescent="0.25">
      <c r="A93" s="28"/>
      <c r="B93" s="28"/>
      <c r="C93" s="28"/>
      <c r="D93" s="28"/>
      <c r="E93" s="28"/>
      <c r="F93" s="28"/>
      <c r="G93" s="28"/>
      <c r="H93" s="28"/>
    </row>
    <row r="94" spans="1:8" x14ac:dyDescent="0.25">
      <c r="A94" s="28"/>
      <c r="B94" s="28"/>
      <c r="C94" s="28"/>
      <c r="D94" s="28"/>
      <c r="E94" s="28"/>
      <c r="F94" s="28"/>
      <c r="G94" s="28"/>
      <c r="H94" s="28"/>
    </row>
    <row r="95" spans="1:8" x14ac:dyDescent="0.25">
      <c r="A95" s="28"/>
      <c r="B95" s="28"/>
      <c r="C95" s="28"/>
      <c r="D95" s="28"/>
      <c r="E95" s="28"/>
      <c r="F95" s="28"/>
      <c r="G95" s="28"/>
      <c r="H95" s="28"/>
    </row>
    <row r="96" spans="1:8" x14ac:dyDescent="0.25">
      <c r="A96" s="28"/>
      <c r="B96" s="28"/>
      <c r="C96" s="28"/>
      <c r="D96" s="28"/>
      <c r="E96" s="28"/>
      <c r="F96" s="28"/>
      <c r="G96" s="28"/>
      <c r="H96" s="28"/>
    </row>
    <row r="97" spans="1:8" x14ac:dyDescent="0.25">
      <c r="A97" s="28"/>
      <c r="B97" s="28"/>
      <c r="C97" s="28"/>
      <c r="D97" s="28"/>
      <c r="E97" s="28"/>
      <c r="F97" s="28"/>
      <c r="G97" s="28"/>
      <c r="H97" s="28"/>
    </row>
    <row r="98" spans="1:8" x14ac:dyDescent="0.25">
      <c r="A98" s="28"/>
      <c r="B98" s="28"/>
      <c r="C98" s="28"/>
      <c r="D98" s="28"/>
      <c r="E98" s="28"/>
      <c r="F98" s="28"/>
      <c r="G98" s="28"/>
      <c r="H98" s="28"/>
    </row>
    <row r="99" spans="1:8" x14ac:dyDescent="0.25">
      <c r="A99" s="28"/>
      <c r="B99" s="28"/>
      <c r="C99" s="28"/>
      <c r="D99" s="28"/>
      <c r="E99" s="28"/>
      <c r="F99" s="28"/>
      <c r="G99" s="28"/>
      <c r="H99" s="28"/>
    </row>
    <row r="100" spans="1:8" x14ac:dyDescent="0.25">
      <c r="A100" s="28"/>
      <c r="B100" s="28"/>
      <c r="C100" s="28"/>
      <c r="D100" s="28"/>
      <c r="E100" s="28"/>
      <c r="F100" s="28"/>
      <c r="G100" s="28"/>
      <c r="H100" s="28"/>
    </row>
    <row r="101" spans="1:8" x14ac:dyDescent="0.25">
      <c r="A101" s="28"/>
      <c r="B101" s="28"/>
      <c r="C101" s="28"/>
      <c r="D101" s="28"/>
      <c r="E101" s="28"/>
      <c r="F101" s="28"/>
      <c r="G101" s="28"/>
      <c r="H101" s="28"/>
    </row>
    <row r="102" spans="1:8" x14ac:dyDescent="0.25">
      <c r="A102" s="28"/>
      <c r="B102" s="28"/>
      <c r="C102" s="28"/>
      <c r="D102" s="28"/>
      <c r="E102" s="28"/>
      <c r="F102" s="28"/>
      <c r="G102" s="28"/>
      <c r="H102" s="28"/>
    </row>
  </sheetData>
  <dataValidations count="2">
    <dataValidation type="list" allowBlank="1" sqref="C3:C102" xr:uid="{00000000-0002-0000-0400-000000000000}">
      <formula1>"Critical,High,Medium,Low"</formula1>
      <formula2>0</formula2>
    </dataValidation>
    <dataValidation type="list" allowBlank="1" sqref="G3:G102" xr:uid="{00000000-0002-0000-0400-000001000000}">
      <formula1>"Open,Fixed,Retest passed,Won't fix"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Summary</vt:lpstr>
      <vt:lpstr>Scenario</vt:lpstr>
      <vt:lpstr>Test script</vt:lpstr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Cosmas Ng'eno</cp:lastModifiedBy>
  <cp:revision>0</cp:revision>
  <dcterms:created xsi:type="dcterms:W3CDTF">2026-10-13T09:27:56Z</dcterms:created>
  <dcterms:modified xsi:type="dcterms:W3CDTF">2026-10-13T10:19:08Z</dcterms:modified>
  <dc:language>en-US</dc:language>
</cp:coreProperties>
</file>