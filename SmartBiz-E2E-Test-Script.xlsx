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SMAS\Dev\SmartBiz-Estate\"/>
    </mc:Choice>
  </mc:AlternateContent>
  <xr:revisionPtr revIDLastSave="0" documentId="8_{C493676E-FE42-45C5-AD55-425E88AEBAC4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Read me" sheetId="1" r:id="rId1"/>
    <sheet name="Summary" sheetId="2" r:id="rId2"/>
    <sheet name="Test script" sheetId="3" r:id="rId3"/>
    <sheet name="Defects" sheetId="4" r:id="rId4"/>
  </sheets>
  <definedNames>
    <definedName name="_xlnm._FilterDatabase" localSheetId="2" hidden="1">'Test script'!$A$1:$K$133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2" l="1"/>
  <c r="G19" i="2"/>
  <c r="F19" i="2"/>
  <c r="D19" i="2"/>
  <c r="C19" i="2"/>
  <c r="G18" i="2"/>
  <c r="F18" i="2"/>
  <c r="E18" i="2"/>
  <c r="D18" i="2"/>
  <c r="C18" i="2"/>
  <c r="H18" i="2" s="1"/>
  <c r="I18" i="2" s="1"/>
  <c r="G17" i="2"/>
  <c r="F17" i="2"/>
  <c r="E17" i="2"/>
  <c r="D17" i="2"/>
  <c r="C17" i="2"/>
  <c r="H17" i="2" s="1"/>
  <c r="I17" i="2" s="1"/>
  <c r="H16" i="2"/>
  <c r="I16" i="2" s="1"/>
  <c r="G16" i="2"/>
  <c r="F16" i="2"/>
  <c r="E16" i="2"/>
  <c r="D16" i="2"/>
  <c r="C16" i="2"/>
  <c r="G15" i="2"/>
  <c r="F15" i="2"/>
  <c r="E15" i="2"/>
  <c r="E19" i="2" s="1"/>
  <c r="D15" i="2"/>
  <c r="C15" i="2"/>
  <c r="H15" i="2" s="1"/>
  <c r="I15" i="2" s="1"/>
  <c r="G14" i="2"/>
  <c r="H14" i="2" s="1"/>
  <c r="I14" i="2" s="1"/>
  <c r="F14" i="2"/>
  <c r="E14" i="2"/>
  <c r="D14" i="2"/>
  <c r="C14" i="2"/>
  <c r="G13" i="2"/>
  <c r="H13" i="2" s="1"/>
  <c r="I13" i="2" s="1"/>
  <c r="F13" i="2"/>
  <c r="E13" i="2"/>
  <c r="D13" i="2"/>
  <c r="C13" i="2"/>
  <c r="G12" i="2"/>
  <c r="F12" i="2"/>
  <c r="E12" i="2"/>
  <c r="D12" i="2"/>
  <c r="C12" i="2"/>
  <c r="H12" i="2" s="1"/>
  <c r="I12" i="2" s="1"/>
  <c r="G11" i="2"/>
  <c r="F11" i="2"/>
  <c r="E11" i="2"/>
  <c r="D11" i="2"/>
  <c r="C11" i="2"/>
  <c r="H11" i="2" s="1"/>
  <c r="I11" i="2" s="1"/>
  <c r="G10" i="2"/>
  <c r="F10" i="2"/>
  <c r="E10" i="2"/>
  <c r="D10" i="2"/>
  <c r="C10" i="2"/>
  <c r="H10" i="2" s="1"/>
  <c r="I10" i="2" s="1"/>
  <c r="G9" i="2"/>
  <c r="F9" i="2"/>
  <c r="E9" i="2"/>
  <c r="D9" i="2"/>
  <c r="C9" i="2"/>
  <c r="H9" i="2" s="1"/>
  <c r="I9" i="2" s="1"/>
  <c r="G8" i="2"/>
  <c r="H8" i="2" s="1"/>
  <c r="I8" i="2" s="1"/>
  <c r="F8" i="2"/>
  <c r="E8" i="2"/>
  <c r="D8" i="2"/>
  <c r="C8" i="2"/>
  <c r="G7" i="2"/>
  <c r="F7" i="2"/>
  <c r="E7" i="2"/>
  <c r="D7" i="2"/>
  <c r="C7" i="2"/>
  <c r="H7" i="2" s="1"/>
  <c r="I7" i="2" s="1"/>
  <c r="G6" i="2"/>
  <c r="F6" i="2"/>
  <c r="E6" i="2"/>
  <c r="D6" i="2"/>
  <c r="C6" i="2"/>
  <c r="H6" i="2" s="1"/>
  <c r="I6" i="2" l="1"/>
  <c r="H19" i="2"/>
  <c r="I19" i="2" s="1"/>
</calcChain>
</file>

<file path=xl/sharedStrings.xml><?xml version="1.0" encoding="utf-8"?>
<sst xmlns="http://schemas.openxmlformats.org/spreadsheetml/2006/main" count="1148" uniqueCount="675">
  <si>
    <t>SmartBiz Estate: end-to-end process test script (Sprints 0-10)</t>
  </si>
  <si>
    <t>Walks a landlord, an agency and a developer through the whole system in business order, so later steps build on earlier ones.</t>
  </si>
  <si>
    <t>Before you start</t>
  </si>
  <si>
    <t>1. Fresh database</t>
  </si>
  <si>
    <t>Demo dates are relative to the day the data is seeded. Start from a clean database so expected values match:
dotnet ef database drop --force --project src/RealEstateERP.Infrastructure --startup-project src/RealEstateERP.Web</t>
  </si>
  <si>
    <t>2. Run in Development</t>
  </si>
  <si>
    <t>dotnet run --project src/RealEstateERP.Web
Migrations are applied and demo data is seeded on first start.</t>
  </si>
  <si>
    <t>3. Email</t>
  </si>
  <si>
    <t>Without SMTP, every email lands in the dev mailbox at /dev/mailbox. With SMTP (Admin &gt; Settings &gt; Email), use addresses you can open.</t>
  </si>
  <si>
    <t>4. Order</t>
  </si>
  <si>
    <t>Run the steps top to bottom. Development costing (S9b) comes before Sales (S9) so its demo numbers hold.</t>
  </si>
  <si>
    <t>5. Credits</t>
  </si>
  <si>
    <t>Some steps use credits (PDFs, leads, invoice runs). If a business runs low, top it up via superadmin (Admin &gt; Credit purchases &gt; adjust).</t>
  </si>
  <si>
    <t>Demo accounts (password for all: Demo@12345)</t>
  </si>
  <si>
    <t>superadmin@smartbiz.test</t>
  </si>
  <si>
    <t>Platform admin: payment approvals, plans, settings, users, businesses</t>
  </si>
  <si>
    <t>owner@smartbiz.test</t>
  </si>
  <si>
    <t>Owns Acacia Gardens (landlord) and Savanna Homes (developer, plot sales)</t>
  </si>
  <si>
    <t>admin@smartbiz.test</t>
  </si>
  <si>
    <t>Admin at Acacia Gardens</t>
  </si>
  <si>
    <t>staff@smartbiz.test</t>
  </si>
  <si>
    <t>User at Acacia Gardens (can edit, can't renew or manage team)</t>
  </si>
  <si>
    <t>viewer@smartbiz.test</t>
  </si>
  <si>
    <t>Viewer at Acacia Gardens (read-only)</t>
  </si>
  <si>
    <t>agent@smartbiz.test</t>
  </si>
  <si>
    <t>Principal of Mji Property Agents (agency)</t>
  </si>
  <si>
    <t>james@smartbiz.test</t>
  </si>
  <si>
    <t>Agent at Mji Property Agents: sees only his own contracts and sales</t>
  </si>
  <si>
    <t>lapsed@smartbiz.test</t>
  </si>
  <si>
    <t>Owns Lapsed Holdings: suspended, payment awaiting approval</t>
  </si>
  <si>
    <t>newuser@smartbiz.test</t>
  </si>
  <si>
    <t>No business yet</t>
  </si>
  <si>
    <t>How to record results</t>
  </si>
  <si>
    <t>Cells you fill in</t>
  </si>
  <si>
    <t>Only the shaded columns on 'Test script': Status, Actual result / notes, Tester, Date. Everything else is the script.</t>
  </si>
  <si>
    <t>Status</t>
  </si>
  <si>
    <t>Pick from the list: Not run, Pass, Fail, Blocked. 'Blocked' = couldn't run because an earlier step failed.</t>
  </si>
  <si>
    <t>Fail</t>
  </si>
  <si>
    <t>Write what actually happened in 'Actual result / notes', then log it on 'Defects' with the test ID. The example row there shows the format.</t>
  </si>
  <si>
    <t>Summary</t>
  </si>
  <si>
    <t>Counts and pass rate per sprint update automatically from the Status column.</t>
  </si>
  <si>
    <t>Results by sprint</t>
  </si>
  <si>
    <t>Updates automatically from the Status column on 'Test script'. Pass rate = Pass / (steps run).</t>
  </si>
  <si>
    <t>Sprint</t>
  </si>
  <si>
    <t>Steps</t>
  </si>
  <si>
    <t>Pass</t>
  </si>
  <si>
    <t>Blocked</t>
  </si>
  <si>
    <t>Not run</t>
  </si>
  <si>
    <t>Run</t>
  </si>
  <si>
    <t>Pass rate</t>
  </si>
  <si>
    <t>S0 Foundation</t>
  </si>
  <si>
    <t>S1 Subscriptions</t>
  </si>
  <si>
    <t>S2 Portfolio</t>
  </si>
  <si>
    <t>S3 Tenants and leases</t>
  </si>
  <si>
    <t>S4 Billing</t>
  </si>
  <si>
    <t>S5 Collections</t>
  </si>
  <si>
    <t>S6 Arrears, credits, PDFs</t>
  </si>
  <si>
    <t>S7 Accounts and admin</t>
  </si>
  <si>
    <t>S8 Agency</t>
  </si>
  <si>
    <t>S9b Development costing</t>
  </si>
  <si>
    <t>S9 Sales</t>
  </si>
  <si>
    <t>S10 Marketplace</t>
  </si>
  <si>
    <t>X Cross-cutting</t>
  </si>
  <si>
    <t>Total</t>
  </si>
  <si>
    <t>Open defects</t>
  </si>
  <si>
    <t>ID</t>
  </si>
  <si>
    <t>Area</t>
  </si>
  <si>
    <t>Sign in as</t>
  </si>
  <si>
    <t>Test data</t>
  </si>
  <si>
    <t>Expected result</t>
  </si>
  <si>
    <t>Actual result / notes</t>
  </si>
  <si>
    <t>Tester</t>
  </si>
  <si>
    <t>Date</t>
  </si>
  <si>
    <t>F-01</t>
  </si>
  <si>
    <t>Public site</t>
  </si>
  <si>
    <t>Signed out</t>
  </si>
  <si>
    <t>Open the home page. Click Features, Pricing, About, Contact and Find a property.</t>
  </si>
  <si>
    <t>-</t>
  </si>
  <si>
    <t>Hero reads 'Rentals and plot sales, without the paperwork'. Every page loads in the navy/amber design. Pricing shows the 4 plans from the database.</t>
  </si>
  <si>
    <t>F-02</t>
  </si>
  <si>
    <t>Sign in</t>
  </si>
  <si>
    <t>Open Sign in. Click a demo account email in the demo panel.</t>
  </si>
  <si>
    <t>The email fills in. Demo password and a link to the dev mailbox are shown (Development only). Show/hide password works.</t>
  </si>
  <si>
    <t>F-03</t>
  </si>
  <si>
    <t>Register</t>
  </si>
  <si>
    <t>Click Create an account. Enter full name, email, password, tick the terms. Submit.</t>
  </si>
  <si>
    <t>Name: QA Tester; your own email (or qa1@smartbiz.test); password Qa@123456</t>
  </si>
  <si>
    <t>'Check your email' page. A confirmation email arrives (dev mailbox if SMTP isn't set).</t>
  </si>
  <si>
    <t>F-04</t>
  </si>
  <si>
    <t>Try to sign in with the new account before confirming.</t>
  </si>
  <si>
    <t>Account from F-03</t>
  </si>
  <si>
    <t>Sign-in refused with a message to confirm the email, and a link to resend it.</t>
  </si>
  <si>
    <t>F-05</t>
  </si>
  <si>
    <t>New account</t>
  </si>
  <si>
    <t>Click the confirmation link in the email, then sign in.</t>
  </si>
  <si>
    <t>Email confirmed. After sign-in you land on 'Create business' (no business yet).</t>
  </si>
  <si>
    <t>F-06</t>
  </si>
  <si>
    <t>Create business</t>
  </si>
  <si>
    <t>Create a business of type Owner.</t>
  </si>
  <si>
    <t>Name: QA Estates; type Owner</t>
  </si>
  <si>
    <t>Dashboard opens for QA Estates. Subscription shows a 14-day trial. Credits page shows the trial plan's credits with an 'Allocation' history line.</t>
  </si>
  <si>
    <t>F-07</t>
  </si>
  <si>
    <t>Tenant isolation</t>
  </si>
  <si>
    <t>owner@</t>
  </si>
  <si>
    <t>Open Properties in Acacia Gardens. Switch business to Savanna Homes and open Properties again.</t>
  </si>
  <si>
    <t>Acacia shows Acacia Court and Acacia Shopping Centre only. Savanna shows Savanna Heights only. No data from the other business appears anywhere.</t>
  </si>
  <si>
    <t>F-08</t>
  </si>
  <si>
    <t>In Acacia Gardens open any invoice and copy its URL. Switch to Savanna Homes and paste the URL.</t>
  </si>
  <si>
    <t>Not found (404). A record from another business can't be opened by URL.</t>
  </si>
  <si>
    <t>F-09</t>
  </si>
  <si>
    <t>Roles</t>
  </si>
  <si>
    <t>viewer@</t>
  </si>
  <si>
    <t>Browse Tenants, Leases, Invoices. Then type /Tenants/Create in the address bar.</t>
  </si>
  <si>
    <t>Lists are readable; no Add/Edit/Record buttons. The create page is refused (access denied).</t>
  </si>
  <si>
    <t>F-10</t>
  </si>
  <si>
    <t>staff@</t>
  </si>
  <si>
    <t>Create a tenant. Then try to open Subscription &gt; Renew, Business settings and Team.</t>
  </si>
  <si>
    <t>Tenant is created. Renew, Business settings and Team are not available to a User.</t>
  </si>
  <si>
    <t>F-11</t>
  </si>
  <si>
    <t>Business switcher</t>
  </si>
  <si>
    <t>Use the switcher at the top of the sidebar to change business.</t>
  </si>
  <si>
    <t>Both businesses listed with their type and role (Owner). Switching changes the business name and data immediately.</t>
  </si>
  <si>
    <t>SUB-01</t>
  </si>
  <si>
    <t>Suspended access</t>
  </si>
  <si>
    <t>lapsed@</t>
  </si>
  <si>
    <t>Sign in and try to open Properties.</t>
  </si>
  <si>
    <t>Redirected to the Subscription page: status Suspended, with the payment awaiting approval shown. Other pages aren't reachable.</t>
  </si>
  <si>
    <t>SUB-02</t>
  </si>
  <si>
    <t>Approve payment</t>
  </si>
  <si>
    <t>superadmin@</t>
  </si>
  <si>
    <t>Admin &gt; Payment approvals. Approve Lapsed Holdings' payment.</t>
  </si>
  <si>
    <t>Approved. Admin &gt; Businesses shows Lapsed Holdings as Active on Starter.</t>
  </si>
  <si>
    <t>SUB-03</t>
  </si>
  <si>
    <t>Access restored</t>
  </si>
  <si>
    <t>Sign in again. Open Properties and Credits.</t>
  </si>
  <si>
    <t>Full access. Credits show a plan allocation from the approved renewal.</t>
  </si>
  <si>
    <t>SUB-04</t>
  </si>
  <si>
    <t>Plan unit limit</t>
  </si>
  <si>
    <t>Properties shows '9 of 10 units used'. Add one unit to Kiprop Flats, then try to add another.</t>
  </si>
  <si>
    <t>Unit numbers 10, 11</t>
  </si>
  <si>
    <t>The 10th unit is added. The 11th is refused with a plan-limit message suggesting an upgrade.</t>
  </si>
  <si>
    <t>SUB-05</t>
  </si>
  <si>
    <t>Renewal request</t>
  </si>
  <si>
    <t>Acacia Gardens &gt; Subscription &gt; Renew. Choose a plan and months, M-PESA, enter the code, attach proof. Submit.</t>
  </si>
  <si>
    <t>Code SJK4H7QX2P; proof: any JPG or PDF</t>
  </si>
  <si>
    <t>Payment shows as pending verification.</t>
  </si>
  <si>
    <t>SUB-06</t>
  </si>
  <si>
    <t>Duplicate code</t>
  </si>
  <si>
    <t>Submit another renewal with the same M-PESA code.</t>
  </si>
  <si>
    <t>SJK4H7QX2P</t>
  </si>
  <si>
    <t>Refused: the reference has already been submitted.</t>
  </si>
  <si>
    <t>SUB-07</t>
  </si>
  <si>
    <t>Reject payment</t>
  </si>
  <si>
    <t>Reject the pending Acacia payment with a reason.</t>
  </si>
  <si>
    <t>Reason: Code not found on statement</t>
  </si>
  <si>
    <t>Rejected. The owner sees the reason on the Subscription page and can submit again.</t>
  </si>
  <si>
    <t>SUB-08</t>
  </si>
  <si>
    <t>Plans and settings</t>
  </si>
  <si>
    <t>Admin &gt; Plans: change Starter's monthly price. Open the public Pricing page.</t>
  </si>
  <si>
    <t>e.g. +100</t>
  </si>
  <si>
    <t>Pricing shows the new price straight away.</t>
  </si>
  <si>
    <t>P-01</t>
  </si>
  <si>
    <t>Property</t>
  </si>
  <si>
    <t>owner@ (Acacia)</t>
  </si>
  <si>
    <t>Properties &gt; Add property.</t>
  </si>
  <si>
    <t>QA Court; Estate; Nairobi county</t>
  </si>
  <si>
    <t>Property created and opens on its details page.</t>
  </si>
  <si>
    <t>P-02</t>
  </si>
  <si>
    <t>Structure</t>
  </si>
  <si>
    <t>Add the structure Block A with Floor 1 and Floor 2.</t>
  </si>
  <si>
    <t>Tree shows QA Court &gt; Block A &gt; Floor 1, Floor 2.</t>
  </si>
  <si>
    <t>P-03</t>
  </si>
  <si>
    <t>Bulk units</t>
  </si>
  <si>
    <t>Bulk-create units on Block A.</t>
  </si>
  <si>
    <t>Prefix A, start 1, count 12, Apartment, 2 bed, rent 25,000</t>
  </si>
  <si>
    <t>12 units created, listed in natural order: A1, A2 ... A9, A10, A11, A12 (not A1, A10, A11...).</t>
  </si>
  <si>
    <t>P-04</t>
  </si>
  <si>
    <t>Unique number</t>
  </si>
  <si>
    <t>Add a single unit numbered A3.</t>
  </si>
  <si>
    <t>A3</t>
  </si>
  <si>
    <t>Refused: unit numbers must be unique within a property.</t>
  </si>
  <si>
    <t>P-05</t>
  </si>
  <si>
    <t>Unit status rules</t>
  </si>
  <si>
    <t>Try to change unit A5's status to Occupied by hand.</t>
  </si>
  <si>
    <t>Not allowed: Occupied is only set by an active lease.</t>
  </si>
  <si>
    <t>P-06</t>
  </si>
  <si>
    <t>Portfolio stats</t>
  </si>
  <si>
    <t>Open Properties.</t>
  </si>
  <si>
    <t>Unit count, occupancy %, vacant count and rent roll include QA Court's 12 units.</t>
  </si>
  <si>
    <t>P-07</t>
  </si>
  <si>
    <t>Delete unit</t>
  </si>
  <si>
    <t>Delete unit A12 (no history).</t>
  </si>
  <si>
    <t>Unit removed from the list.</t>
  </si>
  <si>
    <t>T-01</t>
  </si>
  <si>
    <t>Tenant</t>
  </si>
  <si>
    <t>Tenants &gt; Add tenant.</t>
  </si>
  <si>
    <t>QA Tenant One; phone 0712 345 678; ID 12345678</t>
  </si>
  <si>
    <t>Saved. Phone shows as 0712 345 678 (stored as +254712345678).</t>
  </si>
  <si>
    <t>T-02</t>
  </si>
  <si>
    <t>Documents</t>
  </si>
  <si>
    <t>Upload an ID copy (PDF or JPG) to the tenant. Open it.</t>
  </si>
  <si>
    <t>Any small PDF/JPG</t>
  </si>
  <si>
    <t>Listed under documents; opens correctly.</t>
  </si>
  <si>
    <t>T-03</t>
  </si>
  <si>
    <t>Upload safety</t>
  </si>
  <si>
    <t>Rename a .txt file to .pdf and upload it.</t>
  </si>
  <si>
    <t>fake.pdf</t>
  </si>
  <si>
    <t>Rejected: the file's content isn't a real PDF.</t>
  </si>
  <si>
    <t>T-04</t>
  </si>
  <si>
    <t>Lease draft</t>
  </si>
  <si>
    <t>Create a lease for QA Tenant One on QA Court A1.</t>
  </si>
  <si>
    <t>Start: 1st of this month; 12 months; rent 25,000; deposit 25,000; due day 5</t>
  </si>
  <si>
    <t>Lease saved as Draft with number L-xxxxx. Unit still Available.</t>
  </si>
  <si>
    <t>T-05</t>
  </si>
  <si>
    <t>Activate</t>
  </si>
  <si>
    <t>Activate the lease.</t>
  </si>
  <si>
    <t>Lease Active; unit A1 shows Occupied.</t>
  </si>
  <si>
    <t>T-06</t>
  </si>
  <si>
    <t>One lease per unit</t>
  </si>
  <si>
    <t>Create a second lease on A1 for another tenant and try to activate it.</t>
  </si>
  <si>
    <t>Any tenant</t>
  </si>
  <si>
    <t>Activation refused: the unit already has an active lease.</t>
  </si>
  <si>
    <t>T-07</t>
  </si>
  <si>
    <t>Expiry alerts</t>
  </si>
  <si>
    <t>Open the Dashboard.</t>
  </si>
  <si>
    <t>Leases needing attention include the demo lease ending in about 20 days and the one past its end date.</t>
  </si>
  <si>
    <t>T-08</t>
  </si>
  <si>
    <t>Renewal</t>
  </si>
  <si>
    <t>Renew the lease ending in about 20 days for 12 months at a new rent.</t>
  </si>
  <si>
    <t>Rent +2,000</t>
  </si>
  <si>
    <t>New lease Active, old one Renewed; its charges carried over; unit stays Occupied.</t>
  </si>
  <si>
    <t>T-09</t>
  </si>
  <si>
    <t>Termination</t>
  </si>
  <si>
    <t>Create and activate a lease on QA Court A2, then terminate it today.</t>
  </si>
  <si>
    <t>Lease ended; unit A2 back to Available (or Inactive if chosen).</t>
  </si>
  <si>
    <t>B-01</t>
  </si>
  <si>
    <t>Charges</t>
  </si>
  <si>
    <t>Charges: add a fixed monthly charge, then add it to QA Tenant One's lease (A1).</t>
  </si>
  <si>
    <t>Parking, 2,000/month</t>
  </si>
  <si>
    <t>Charge in the library and on the lease.</t>
  </si>
  <si>
    <t>B-02</t>
  </si>
  <si>
    <t>Meter readings</t>
  </si>
  <si>
    <t>Readings: enter A1's opening water reading, then this month's reading.</t>
  </si>
  <si>
    <t>Opening 100; current 112</t>
  </si>
  <si>
    <t>Opening isn't billed. Current reading shows 12 units consumed and the charge at the water rate.</t>
  </si>
  <si>
    <t>B-03</t>
  </si>
  <si>
    <t>Reading rules</t>
  </si>
  <si>
    <t>Enter a reading lower than the last one; then one dated tomorrow.</t>
  </si>
  <si>
    <t>105; tomorrow</t>
  </si>
  <si>
    <t>Both refused with clear messages.</t>
  </si>
  <si>
    <t>B-04</t>
  </si>
  <si>
    <t>Billing run preview</t>
  </si>
  <si>
    <t>Invoices &gt; Generate monthly invoices for this month. Look at the preview.</t>
  </si>
  <si>
    <t>This month</t>
  </si>
  <si>
    <t>QA Tenant One shows rent 25,000 + parking 2,000 + water. Demo leases appear too. Nothing is saved yet.</t>
  </si>
  <si>
    <t>B-05</t>
  </si>
  <si>
    <t>Generate</t>
  </si>
  <si>
    <t>Generate the invoices. Then run the same month again.</t>
  </si>
  <si>
    <t>Invoices created (INV-xxxxx, Pending). The second run skips every lease already invoiced. Because more than 10 invoices were created, 5 credits are used (see Credits).</t>
  </si>
  <si>
    <t>B-06</t>
  </si>
  <si>
    <t>Invoice</t>
  </si>
  <si>
    <t>Open QA Tenant One's invoice. Click Print.</t>
  </si>
  <si>
    <t>Lines and totals correct; due date the 5th. Print view hides the sidebar and menus.</t>
  </si>
  <si>
    <t>B-07</t>
  </si>
  <si>
    <t>Proration</t>
  </si>
  <si>
    <t>Create a lease on QA Court A3 starting the 15th of this month and preview its first invoice.</t>
  </si>
  <si>
    <t>Rent 25,000</t>
  </si>
  <si>
    <t>First month's rent is prorated for the days from the 15th.</t>
  </si>
  <si>
    <t>B-08</t>
  </si>
  <si>
    <t>Overdue</t>
  </si>
  <si>
    <t>Invoices &gt; Overdue.</t>
  </si>
  <si>
    <t>Last month's unpaid demo invoices (e.g. David, Kwa Njeri) show as Overdue.</t>
  </si>
  <si>
    <t>C-01</t>
  </si>
  <si>
    <t>Partial payment</t>
  </si>
  <si>
    <t>Payments &gt; Record payment for QA Tenant One by M-PESA, less than the invoice total.</t>
  </si>
  <si>
    <t>Code TBA1C2D3E4; amount 10,000</t>
  </si>
  <si>
    <t>Preview applies it to the oldest invoice. Receipt RCT-xxxxx created; invoice Partly paid.</t>
  </si>
  <si>
    <t>C-02</t>
  </si>
  <si>
    <t>Record another payment with the same code.</t>
  </si>
  <si>
    <t>TBA1C2D3E4</t>
  </si>
  <si>
    <t>Refused: reference already recorded.</t>
  </si>
  <si>
    <t>C-03</t>
  </si>
  <si>
    <t>Overpayment</t>
  </si>
  <si>
    <t>Record a payment larger than QA Tenant One's balance.</t>
  </si>
  <si>
    <t>Cash; balance + 5,000</t>
  </si>
  <si>
    <t>Invoice Paid; 5,000 held as credit. Tenant page shows the credit.</t>
  </si>
  <si>
    <t>C-04</t>
  </si>
  <si>
    <t>Refund overpayment</t>
  </si>
  <si>
    <t>Refund the 5,000 credit to the tenant.</t>
  </si>
  <si>
    <t>M-PESA ref of your choice</t>
  </si>
  <si>
    <t>Refund RFD-xxxxx recorded; credit back to 0.</t>
  </si>
  <si>
    <t>C-05</t>
  </si>
  <si>
    <t>Reversal</t>
  </si>
  <si>
    <t>Reverse the cash payment from C-03 with a reason.</t>
  </si>
  <si>
    <t>Reason: Recorded in error</t>
  </si>
  <si>
    <t>Receipt shows a REVERSED watermark; the invoice balance is restored. Nothing is deleted.</t>
  </si>
  <si>
    <t>C-06</t>
  </si>
  <si>
    <t>Cancel paid invoice</t>
  </si>
  <si>
    <t>Try to cancel an invoice that has a payment on it.</t>
  </si>
  <si>
    <t>QA Tenant One's invoice</t>
  </si>
  <si>
    <t>Refused while money is applied to it.</t>
  </si>
  <si>
    <t>C-07</t>
  </si>
  <si>
    <t>Statement</t>
  </si>
  <si>
    <t>Open QA Tenant One's statement. Change the date range.</t>
  </si>
  <si>
    <t>Running balance per line, including the reversal and refund. Closing balance equals the balance on the tenant page.</t>
  </si>
  <si>
    <t>C-08</t>
  </si>
  <si>
    <t>Deposit refund</t>
  </si>
  <si>
    <t>Try a deposit refund on QA Tenant One's active lease. Then on the ended lease from T-09.</t>
  </si>
  <si>
    <t>Refused on the active lease. Allowed on the ended one, up to the deposit not yet refunded.</t>
  </si>
  <si>
    <t>C-09</t>
  </si>
  <si>
    <t>Demo states</t>
  </si>
  <si>
    <t>Payments &gt; Owes money. Open Moses, Mercy and Lucy.</t>
  </si>
  <si>
    <t>David and Kwa Njeri owe money; Moses's cheque shows as reversed; Mercy has credit; Lucy is part-paid.</t>
  </si>
  <si>
    <t>A-01</t>
  </si>
  <si>
    <t>Arrears</t>
  </si>
  <si>
    <t>Open Arrears.</t>
  </si>
  <si>
    <t>Overdue split into 1-30, 31-60, 61-90 and 90+ days, by property and by tenant, with collections stage chips.</t>
  </si>
  <si>
    <t>A-02</t>
  </si>
  <si>
    <t>Late penalties</t>
  </si>
  <si>
    <t>Late penalties: review the preview, tick some invoices, issue. Open the preview again.</t>
  </si>
  <si>
    <t>Penalty invoices created for the ticked invoices. They no longer appear in the preview (one penalty per invoice).</t>
  </si>
  <si>
    <t>A-03</t>
  </si>
  <si>
    <t>Collections notes</t>
  </si>
  <si>
    <t>Open Moses. Add a note with a promised date next week. Then try a promised date in the past.</t>
  </si>
  <si>
    <t>Stage 'Demand served' and timeline visible; new note saved. Past promise date refused.</t>
  </si>
  <si>
    <t>A-04</t>
  </si>
  <si>
    <t>Invoice PDF</t>
  </si>
  <si>
    <t>Download an invoice PDF. Open Credits.</t>
  </si>
  <si>
    <t>PDF opens with business details. Balance down 1 credit with a history line.</t>
  </si>
  <si>
    <t>A-05</t>
  </si>
  <si>
    <t>Other PDFs</t>
  </si>
  <si>
    <t>Download a receipt PDF and a tenant statement PDF.</t>
  </si>
  <si>
    <t>Both open. Credits down 1 and 2.</t>
  </si>
  <si>
    <t>A-06</t>
  </si>
  <si>
    <t>No credits</t>
  </si>
  <si>
    <t>superadmin@ then owner@</t>
  </si>
  <si>
    <t>Admin &gt; Credit purchases &gt; adjust QA Estates' credits to 0 (negative adjustment). As QA Estates' user, download any PDF.</t>
  </si>
  <si>
    <t>Business # from Admin &gt; Businesses</t>
  </si>
  <si>
    <t>PDF refused with a message to buy credits.</t>
  </si>
  <si>
    <t>A-07</t>
  </si>
  <si>
    <t>Buy credits</t>
  </si>
  <si>
    <t>owner@ then superadmin@</t>
  </si>
  <si>
    <t>Credits &gt; Buy a bundle with a reference. As superadmin, approve it.</t>
  </si>
  <si>
    <t>Bundle 100; ref QWE1R2T3Y4</t>
  </si>
  <si>
    <t>Pending, then approved: balance up by 100 with a Purchase line.</t>
  </si>
  <si>
    <t>A-08</t>
  </si>
  <si>
    <t>Health check</t>
  </si>
  <si>
    <t>Open /health.</t>
  </si>
  <si>
    <t>Shows Healthy.</t>
  </si>
  <si>
    <t>AC-01</t>
  </si>
  <si>
    <t>Forgot password</t>
  </si>
  <si>
    <t>Forgot password? for staff@. Open the email link and set a new password. Sign in with it.</t>
  </si>
  <si>
    <t>New: Qa@654321</t>
  </si>
  <si>
    <t>Reset email arrives; password changes; sign-in works with the new password.</t>
  </si>
  <si>
    <t>AC-02</t>
  </si>
  <si>
    <t>Reset link reuse</t>
  </si>
  <si>
    <t>Use the same reset link again.</t>
  </si>
  <si>
    <t>Refused: the link has expired or was already used.</t>
  </si>
  <si>
    <t>AC-03</t>
  </si>
  <si>
    <t>Lockout</t>
  </si>
  <si>
    <t>Enter a wrong password 5 times for viewer@.</t>
  </si>
  <si>
    <t>Account locked for 5 minutes (lockout page).</t>
  </si>
  <si>
    <t>AC-04</t>
  </si>
  <si>
    <t>Unlock</t>
  </si>
  <si>
    <t>Admin &gt; Users &gt; viewer@ &gt; Unlock account. Sign in as viewer@.</t>
  </si>
  <si>
    <t>Sign-in works immediately.</t>
  </si>
  <si>
    <t>AC-05</t>
  </si>
  <si>
    <t>Profile</t>
  </si>
  <si>
    <t>Your account &gt; Profile: change name and phone. Save.</t>
  </si>
  <si>
    <t>Name + ' QA'</t>
  </si>
  <si>
    <t>Menu shows the new name. The selected business stays selected (no 'Choose a business').</t>
  </si>
  <si>
    <t>AC-06</t>
  </si>
  <si>
    <t>Password change</t>
  </si>
  <si>
    <t>Your account &gt; Password: change it (then change it back).</t>
  </si>
  <si>
    <t>Changed; you stay in the same business.</t>
  </si>
  <si>
    <t>AC-07</t>
  </si>
  <si>
    <t>Invite member</t>
  </si>
  <si>
    <t>Business settings &gt; Team: invite newuser@ as User.</t>
  </si>
  <si>
    <t>Invitation listed as waiting; email sent.</t>
  </si>
  <si>
    <t>AC-08</t>
  </si>
  <si>
    <t>Accept invitation</t>
  </si>
  <si>
    <t>newuser@</t>
  </si>
  <si>
    <t>Sign in. Accept the invitation on 'Choose a business' (or via the email link).</t>
  </si>
  <si>
    <t>Lands on Acacia Gardens' dashboard as a User.</t>
  </si>
  <si>
    <t>AC-09</t>
  </si>
  <si>
    <t>Wrong account</t>
  </si>
  <si>
    <t>Open the invitation link from AC-07's email (before or after acceptance) while signed in as staff@.</t>
  </si>
  <si>
    <t>Refused: the invitation was sent to another email.</t>
  </si>
  <si>
    <t>AC-10</t>
  </si>
  <si>
    <t>Owner rules</t>
  </si>
  <si>
    <t>admin@ (Acacia)</t>
  </si>
  <si>
    <t>Team: try to invite someone as Owner, and change the owner's role.</t>
  </si>
  <si>
    <t>Owner role not available to an Admin; owner's row can't be changed.</t>
  </si>
  <si>
    <t>AC-11</t>
  </si>
  <si>
    <t>Last owner</t>
  </si>
  <si>
    <t>Team: change your own role to Admin.</t>
  </si>
  <si>
    <t>Refused: a business must keep at least one Owner.</t>
  </si>
  <si>
    <t>AC-12</t>
  </si>
  <si>
    <t>Remove member</t>
  </si>
  <si>
    <t>Remove newuser@. Then, as newuser@, refresh any page.</t>
  </si>
  <si>
    <t>newuser@ loses access to Acacia Gardens.</t>
  </si>
  <si>
    <t>AC-13</t>
  </si>
  <si>
    <t>Logo on PDFs</t>
  </si>
  <si>
    <t>Business settings: upload a PNG logo. Download an invoice PDF.</t>
  </si>
  <si>
    <t>Any PNG under 2 MB</t>
  </si>
  <si>
    <t>Logo shows in settings and at the top of the PDF.</t>
  </si>
  <si>
    <t>AC-14</t>
  </si>
  <si>
    <t>Admin users</t>
  </si>
  <si>
    <t>Admin &gt; Users: search, send a reset link, try to lock your own account.</t>
  </si>
  <si>
    <t>Actions work; locking yourself is refused.</t>
  </si>
  <si>
    <t>AC-15</t>
  </si>
  <si>
    <t>Admin businesses</t>
  </si>
  <si>
    <t>Admin &gt; Businesses.</t>
  </si>
  <si>
    <t>Every business with owner, plan, status, paid-through, members and credits.</t>
  </si>
  <si>
    <t>AC-16</t>
  </si>
  <si>
    <t>Email settings</t>
  </si>
  <si>
    <t>Admin &gt; Settings &gt; Email: enter SMTP details and save. Reload. Send a test email.</t>
  </si>
  <si>
    <t>Your Brevo details</t>
  </si>
  <si>
    <t>'Now:' line names your server. Password shows only 'Saved'. Test arrives, or the server's error is shown.</t>
  </si>
  <si>
    <t>AG-01</t>
  </si>
  <si>
    <t>Principal view</t>
  </si>
  <si>
    <t>agent@</t>
  </si>
  <si>
    <t>Sign in. Look at the switcher and sidebar.</t>
  </si>
  <si>
    <t>'Mji Property Agents · Agency · Principal'. Menus: Sales, Agency (Owners, Contracts, Owner remittances, Agents). Dashboard shows an 'Agency, &lt;last month&gt;' panel.</t>
  </si>
  <si>
    <t>AG-02</t>
  </si>
  <si>
    <t>Owners</t>
  </si>
  <si>
    <t>Owners: open Grace Mwende. Add a new owner paid by bank without an account number.</t>
  </si>
  <si>
    <t>Grace shows MC-00001 and payout details. New owner refused until bank name and account number are entered.</t>
  </si>
  <si>
    <t>AG-03</t>
  </si>
  <si>
    <t>Contracts</t>
  </si>
  <si>
    <t>Contracts list.</t>
  </si>
  <si>
    <t>MC-00001 Grace / Kilimani Heights / 10% / James; MC-00002 Otieno / Westlands Court / 8% / Wanjiru.</t>
  </si>
  <si>
    <t>AG-04</t>
  </si>
  <si>
    <t>One contract per property</t>
  </si>
  <si>
    <t>New contract for Grace (draft). Add Kilimani Heights. Activate with no property.</t>
  </si>
  <si>
    <t>Kilimani Heights not offered/refused (already under an active contract). Activation refused without a property.</t>
  </si>
  <si>
    <t>AG-05</t>
  </si>
  <si>
    <t>Statement preview</t>
  </si>
  <si>
    <t>Owner remittances (last month) &gt; Prepare Grace Mwende.</t>
  </si>
  <si>
    <t>Collected for owner KES 225,000; deposits held KES 45,000 (A5's new lease); commission KES 22,500; payable KES 202,500.</t>
  </si>
  <si>
    <t>AG-06</t>
  </si>
  <si>
    <t>Adjustment</t>
  </si>
  <si>
    <t>Create draft statement. Add a deduction.</t>
  </si>
  <si>
    <t>Plumbing repair A1, deduct 3,000</t>
  </si>
  <si>
    <t>Payable KES 199,500.</t>
  </si>
  <si>
    <t>AG-07</t>
  </si>
  <si>
    <t>Approve and pay</t>
  </si>
  <si>
    <t>Approve, then record the payment to Grace. Download the PDF.</t>
  </si>
  <si>
    <t>Bank; ref FT2610001</t>
  </si>
  <si>
    <t>Status Paid with date and reference; adjustments locked. PDF uses 2 credits.</t>
  </si>
  <si>
    <t>AG-08</t>
  </si>
  <si>
    <t>Cancel and redo</t>
  </si>
  <si>
    <t>Prepare Otieno Family Trust; create it; cancel with a reason; prepare it again.</t>
  </si>
  <si>
    <t>Reason: late payment</t>
  </si>
  <si>
    <t>Collected KES 120,000 (W3 unpaid); commission KES 9,600; payable KES 110,400. After cancelling, the month can be prepared again.</t>
  </si>
  <si>
    <t>AG-09</t>
  </si>
  <si>
    <t>Agent commission</t>
  </si>
  <si>
    <t>Owner remittances &gt; Agent commission (last month).</t>
  </si>
  <si>
    <t>James KES 9,000 (40% of 22,500); Wanjiru KES 3,360 (35% of 9,600).</t>
  </si>
  <si>
    <t>AG-10</t>
  </si>
  <si>
    <t>Managed-for badge</t>
  </si>
  <si>
    <t>Open the Kilimani Heights property page.</t>
  </si>
  <si>
    <t>Shows 'Managed for Grace Mwende'.</t>
  </si>
  <si>
    <t>AG-11</t>
  </si>
  <si>
    <t>Agent view</t>
  </si>
  <si>
    <t>james@</t>
  </si>
  <si>
    <t>Sign in. Look at the menu; open Contracts; paste MC-00002's URL (copied as agent@).</t>
  </si>
  <si>
    <t>Switcher says Agent. Menu shows My contracts, Owners, Owner remittances, My commission (no Agents). Only MC-00001 listed; MC-00002 not found.</t>
  </si>
  <si>
    <t>AG-12</t>
  </si>
  <si>
    <t>Agent limits</t>
  </si>
  <si>
    <t>On MC-00001: prepare a statement and add an adjustment. Look for Approve and Edit terms.</t>
  </si>
  <si>
    <t>Preparing and adjusting work. No Approve, Edit terms or End buttons; owner records are read-only.</t>
  </si>
  <si>
    <t>AG-13</t>
  </si>
  <si>
    <t>Move contracts</t>
  </si>
  <si>
    <t>Agents &gt; James &gt; Move contracts to Wanjiru. As james@, open My contracts. Then move them back.</t>
  </si>
  <si>
    <t>James's list becomes empty, then MC-00001 returns.</t>
  </si>
  <si>
    <t>AG-14</t>
  </si>
  <si>
    <t>Unlink login</t>
  </si>
  <si>
    <t>agent@ then james@</t>
  </si>
  <si>
    <t>Edit James: set Login to 'No login'. As james@ refresh. Then relink.</t>
  </si>
  <si>
    <t>Unlinked, James is a normal User and sees all agency contracts; relinked, he's restricted again.</t>
  </si>
  <si>
    <t>CO-01</t>
  </si>
  <si>
    <t>Portfolio</t>
  </si>
  <si>
    <t>owner@ (Savanna)</t>
  </si>
  <si>
    <t>Sidebar &gt; Costs and margins.</t>
  </si>
  <si>
    <t>Savanna Heights: expected cost about KES 12.7M, projected margin about 27%.</t>
  </si>
  <si>
    <t>CO-02</t>
  </si>
  <si>
    <t>Project margins</t>
  </si>
  <si>
    <t>Open Savanna Heights &gt; Margins.</t>
  </si>
  <si>
    <t>Budget vs actual grouped by Purchase, Development, Subdivision, Other: Subdivision '+50,000 over'; Infrastructure '600,000 left'. Sales box: 'Sell 4 more units' (fresh database).</t>
  </si>
  <si>
    <t>CO-03</t>
  </si>
  <si>
    <t>Add actual</t>
  </si>
  <si>
    <t>Budget and costs: add an actual Infrastructure cost.</t>
  </si>
  <si>
    <t>Power connection; 500,000; today</t>
  </si>
  <si>
    <t>Spent rises by 500,000; expected total unchanged (still within the 3,000,000 budget).</t>
  </si>
  <si>
    <t>CO-04</t>
  </si>
  <si>
    <t>Overspend</t>
  </si>
  <si>
    <t>Add another actual Infrastructure cost.</t>
  </si>
  <si>
    <t>Extra drainage; 200,000; today</t>
  </si>
  <si>
    <t>Infrastructure now '+100,000 over'; expected total up by 100,000.</t>
  </si>
  <si>
    <t>CO-05</t>
  </si>
  <si>
    <t>Validation</t>
  </si>
  <si>
    <t>Add an actual cost dated tomorrow; then one with no date.</t>
  </si>
  <si>
    <t>Both refused (future actuals should be budgets).</t>
  </si>
  <si>
    <t>CO-06</t>
  </si>
  <si>
    <t>Unit cost</t>
  </si>
  <si>
    <t>Add an actual Construction cost for Plot 7 only.</t>
  </si>
  <si>
    <t>Fencing Plot 7; 80,000</t>
  </si>
  <si>
    <t>Plot 7's cost shows 'incl. KES 80,000 own costs'; other plots unchanged.</t>
  </si>
  <si>
    <t>CO-07</t>
  </si>
  <si>
    <t>Allocation method</t>
  </si>
  <si>
    <t>Purchase and subdivision: switch 'Spread shared costs' to Equally, then By sale value. Check Margins.</t>
  </si>
  <si>
    <t>Unit costs re-spread accordingly.</t>
  </si>
  <si>
    <t>CO-08</t>
  </si>
  <si>
    <t>Subdivision</t>
  </si>
  <si>
    <t>Purchase and subdivision: create plots, then give Plot 2 a title number.</t>
  </si>
  <si>
    <t>Plot, start 13, count 2, 450 sqm, 1,500,000; title KAJIADO/KITENGELA/5678/2</t>
  </si>
  <si>
    <t>Plots 13-14 added; land in plots and roads/common area recalculated; Plot 2 shows its title.</t>
  </si>
  <si>
    <t>CO-09</t>
  </si>
  <si>
    <t>Rental yield</t>
  </si>
  <si>
    <t>Costs and margins &gt; Acacia Court.</t>
  </si>
  <si>
    <t>Gross yield and payback per flat; 'Rental, last 12 months' shows rent collected, letting costs (300,000) and net yield. Letting costs not in the development total.</t>
  </si>
  <si>
    <t>CO-10</t>
  </si>
  <si>
    <t>Access</t>
  </si>
  <si>
    <t>Look for Costs and margins; then type /Costing.</t>
  </si>
  <si>
    <t>Not in the menu; page says it's for Developer or Owner businesses.</t>
  </si>
  <si>
    <t>SA-01</t>
  </si>
  <si>
    <t>Sales list</t>
  </si>
  <si>
    <t>Sales.</t>
  </si>
  <si>
    <t>Plot 1 Completed; Plots 2-3 Active (Plot 2 with an overdue amount); Plots 4-5 Reserved. Totals strip filled.</t>
  </si>
  <si>
    <t>SA-02</t>
  </si>
  <si>
    <t>Buyer</t>
  </si>
  <si>
    <t>New sale &gt; 'Add a new buyer'. Save.</t>
  </si>
  <si>
    <t>QA Buyer; 0722 000 111</t>
  </si>
  <si>
    <t>Returns to the sale form with QA Buyer selected.</t>
  </si>
  <si>
    <t>SA-03</t>
  </si>
  <si>
    <t>Schedule</t>
  </si>
  <si>
    <t>Choose Plot 6, instalments, 12 monthly. Watch the preview.</t>
  </si>
  <si>
    <t>Price fills 1,450,000; deposit 290,000. Schedule totals exactly 1,450,000; rounding cents on the last instalment.</t>
  </si>
  <si>
    <t>SA-04</t>
  </si>
  <si>
    <t>Reserve</t>
  </si>
  <si>
    <t>Record the sale. Open Plot 6's property page and try to change its status.</t>
  </si>
  <si>
    <t>Sale SL-xxxxx Reserved; Plot 6 Reserved; manual status change refused (follows the sale).</t>
  </si>
  <si>
    <t>SA-05</t>
  </si>
  <si>
    <t>Payments</t>
  </si>
  <si>
    <t>Record 400,000 by M-PESA. Then try more than the balance; then the same code again.</t>
  </si>
  <si>
    <t>Code SVQ1W2E3R4</t>
  </si>
  <si>
    <t>Deposit paid, instalment 1 partly paid. Overpayment refused. Duplicate code refused.</t>
  </si>
  <si>
    <t>SA-06</t>
  </si>
  <si>
    <t>Milestones</t>
  </si>
  <si>
    <t>Record the Agreement (with a PDF). Then Stamp duty and Title transfer.</t>
  </si>
  <si>
    <t>Title ref KAJIADO/KITENGELA/5678/6</t>
  </si>
  <si>
    <t>Only the next step is offered each time. Agreement makes the sale Active and Plot 6 Sold. Documents downloadable.</t>
  </si>
  <si>
    <t>SA-07</t>
  </si>
  <si>
    <t>Handover rule</t>
  </si>
  <si>
    <t>Look at the Handover step.</t>
  </si>
  <si>
    <t>Blocked: the buyer must pay in full before handover.</t>
  </si>
  <si>
    <t>SA-08</t>
  </si>
  <si>
    <t>Complete</t>
  </si>
  <si>
    <t>Record the remaining balance by bank transfer, then Handover.</t>
  </si>
  <si>
    <t>Ref FT2610002</t>
  </si>
  <si>
    <t>Sale Completed.</t>
  </si>
  <si>
    <t>SA-09</t>
  </si>
  <si>
    <t>Reverse the bank payment.</t>
  </si>
  <si>
    <t>Reason: Transfer recalled</t>
  </si>
  <si>
    <t>Sale back to Active; balance restored.</t>
  </si>
  <si>
    <t>SA-10</t>
  </si>
  <si>
    <t>Cancel rules</t>
  </si>
  <si>
    <t>Try to cancel Plot 6's sale. Reverse the remaining payment, then cancel.</t>
  </si>
  <si>
    <t>Refused while money is held; then cancelled and Plot 6 Available again.</t>
  </si>
  <si>
    <t>SA-11</t>
  </si>
  <si>
    <t>Overdue instalment</t>
  </si>
  <si>
    <t>Open Plot 2 (Ruth). Record a payment equal to the overdue amount.</t>
  </si>
  <si>
    <t>The oldest unpaid instalment is cleared; overdue becomes 0.</t>
  </si>
  <si>
    <t>SA-12</t>
  </si>
  <si>
    <t>Reports</t>
  </si>
  <si>
    <t>Sales &gt; Reports.</t>
  </si>
  <si>
    <t>Stock by project; overdue instalments by age (Plot 4's deposit); pipeline (Plots 4, 5); sold units.</t>
  </si>
  <si>
    <t>SA-13</t>
  </si>
  <si>
    <t>Buyer statement</t>
  </si>
  <si>
    <t>Download Plot 3's buyer statement PDF.</t>
  </si>
  <si>
    <t>Schedule, payments and balance; 2 credits used.</t>
  </si>
  <si>
    <t>SA-14</t>
  </si>
  <si>
    <t>Agency sale</t>
  </si>
  <si>
    <t>Sales &gt; New sale on Kilimani Heights A6 with agent James and 3% commission, full payment. Record 300,000. Open Agent commission and pick THIS month.</t>
  </si>
  <si>
    <t>Price 6,000,000</t>
  </si>
  <si>
    <t>Commission on sales: KES 9,000 commission, James earns KES 3,600.</t>
  </si>
  <si>
    <t>SA-15</t>
  </si>
  <si>
    <t>Agent's sales</t>
  </si>
  <si>
    <t>Open My sales.</t>
  </si>
  <si>
    <t>Only the A6 sale (assigned to him) is listed.</t>
  </si>
  <si>
    <t>M-01</t>
  </si>
  <si>
    <t>Public listings</t>
  </si>
  <si>
    <t>Open /properties.</t>
  </si>
  <si>
    <t>Acacia Court flats, Savanna Heights plots and the Kilimani flat (minus any now let or sold). Placeholder images where there are no photos.</t>
  </si>
  <si>
    <t>M-02</t>
  </si>
  <si>
    <t>Search</t>
  </si>
  <si>
    <t>Try Rent / Buy, county, type, beds and max price.</t>
  </si>
  <si>
    <t>Results filter correctly; the count updates.</t>
  </si>
  <si>
    <t>M-03</t>
  </si>
  <si>
    <t>Enquiry validation</t>
  </si>
  <si>
    <t>Open a listing. Send an enquiry without ticking consent; then with phone 12345.</t>
  </si>
  <si>
    <t>M-04</t>
  </si>
  <si>
    <t>Enquiry</t>
  </si>
  <si>
    <t>Send a valid enquiry on a Savanna plot with your own email.</t>
  </si>
  <si>
    <t>Your name/phone/email</t>
  </si>
  <si>
    <t>'Check your email'. Savanna's Leads page doesn't show it yet.</t>
  </si>
  <si>
    <t>M-05</t>
  </si>
  <si>
    <t>Verified lead</t>
  </si>
  <si>
    <t>Signed out, then owner@ (Savanna)</t>
  </si>
  <si>
    <t>Click the confirmation link. Open Savanna &gt; Leads and Credits.</t>
  </si>
  <si>
    <t>'Enquiry confirmed'. Owners get a 'New lead' email. Lead shows phone/WhatsApp/email; 10 credits used.</t>
  </si>
  <si>
    <t>M-06</t>
  </si>
  <si>
    <t>Repeat free</t>
  </si>
  <si>
    <t>Click the link again. Then enquire again on the same plot with the same email and confirm.</t>
  </si>
  <si>
    <t>'Already confirmed'. The new lead is marked 'Repeat, free'; no credits used.</t>
  </si>
  <si>
    <t>M-07</t>
  </si>
  <si>
    <t>Locked lead</t>
  </si>
  <si>
    <t>Leads: open Mary Wanjiru's locked lead.</t>
  </si>
  <si>
    <t>Opens; 10 credits used; contact details visible.</t>
  </si>
  <si>
    <t>M-08</t>
  </si>
  <si>
    <t>Refund</t>
  </si>
  <si>
    <t>Report Brian's lead as fake. Report it again.</t>
  </si>
  <si>
    <t>Reason: Number doesn't exist</t>
  </si>
  <si>
    <t>Credits refunded once; the second report is refused.</t>
  </si>
  <si>
    <t>M-09</t>
  </si>
  <si>
    <t>Create listing</t>
  </si>
  <si>
    <t>Listings &gt; New listing for QA Court A4 to let. Save. Upload 2 JPGs; make the second the cover; publish.</t>
  </si>
  <si>
    <t>Title and price suggested. Published with the chosen cover; visible at /properties.</t>
  </si>
  <si>
    <t>M-10</t>
  </si>
  <si>
    <t>Photo rules</t>
  </si>
  <si>
    <t>Upload a PDF as a photo.</t>
  </si>
  <si>
    <t>Rejected: photos must be JPG or PNG.</t>
  </si>
  <si>
    <t>M-11</t>
  </si>
  <si>
    <t>Auto-hide</t>
  </si>
  <si>
    <t>Create and activate a lease on QA Court A4. Check Listings and the public page.</t>
  </si>
  <si>
    <t>Listing shows 'Unit not available'; public page says no longer available; it's gone from search.</t>
  </si>
  <si>
    <t>M-12</t>
  </si>
  <si>
    <t>Rate limit</t>
  </si>
  <si>
    <t>Send 6 enquiries within 10 minutes from the same browser.</t>
  </si>
  <si>
    <t>The 6th is refused (Too Many Requests).</t>
  </si>
  <si>
    <t>M-13</t>
  </si>
  <si>
    <t>Home page</t>
  </si>
  <si>
    <t>Open the home page.</t>
  </si>
  <si>
    <t>'Just listed' shows the 3 newest live listings.</t>
  </si>
  <si>
    <t>X-01</t>
  </si>
  <si>
    <t>Mobile</t>
  </si>
  <si>
    <t>Chrome DevTools &gt; iPhone SE (375px): sign in, dashboard, record a payment, receipt, /properties.</t>
  </si>
  <si>
    <t>Menu opens as a slide-out; forms usable; wide tables scroll sideways; nothing cut off.</t>
  </si>
  <si>
    <t>X-02</t>
  </si>
  <si>
    <t>Emails</t>
  </si>
  <si>
    <t>Open /dev/mailbox (if SMTP isn't set) or your inbox.</t>
  </si>
  <si>
    <t>Confirmation, reset, invitation, enquiry and lead emails are all present, branded and with working links.</t>
  </si>
  <si>
    <t>X-03</t>
  </si>
  <si>
    <t>Errors</t>
  </si>
  <si>
    <t>Any</t>
  </si>
  <si>
    <t>Open a made-up address, e.g. /Invoices/Details/999999.</t>
  </si>
  <si>
    <t>A friendly not-found page; no stack trace.</t>
  </si>
  <si>
    <t>X-04</t>
  </si>
  <si>
    <t>Sign out</t>
  </si>
  <si>
    <t>Sign out, then press Back.</t>
  </si>
  <si>
    <t>You're signed out; protected pages ask you to sign in.</t>
  </si>
  <si>
    <t>Defect ID</t>
  </si>
  <si>
    <t>Test ID</t>
  </si>
  <si>
    <t>Severity</t>
  </si>
  <si>
    <t>What happened</t>
  </si>
  <si>
    <t>Steps to reproduce</t>
  </si>
  <si>
    <t>Expected</t>
  </si>
  <si>
    <t>Fixed in (zip / date)</t>
  </si>
  <si>
    <t>EXAMPLE</t>
  </si>
  <si>
    <t>High</t>
  </si>
  <si>
    <t>Recording 400,000 showed an error page instead of the receipt.</t>
  </si>
  <si>
    <t>Savanna Homes &gt; Sales &gt; SL-00006 &gt; Record payment 400,000 M-PESA SVQ1W2E3R4</t>
  </si>
  <si>
    <t>Payment recorded; deposit shown as paid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</si>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</sst>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 x14ac:knownFonts="1">
    <font>
      <sz val="11"/>
      <color theme="1"/>
      <name val="Calibri"/>
      <family val="2"/>
      <charset val="1"/>
    </font>
    <font>
      <b/>
      <sz val="16"/>
      <color rgb="FF0B2A4A"/>
      <name val="Arial"/>
      <charset val="1"/>
    </font>
    <font>
      <sz val="10"/>
      <color rgb="FF657489"/>
      <name val="Arial"/>
      <charset val="1"/>
    </font>
    <font>
      <b/>
      <sz val="12"/>
      <color rgb="FF0B2A4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1554A8"/>
      <name val="Arial"/>
      <charset val="1"/>
    </font>
    <font>
      <b/>
      <sz val="14"/>
      <color rgb="FF0B2A4A"/>
      <name val="Arial"/>
      <charset val="1"/>
    </font>
    <font>
      <b/>
      <sz val="10"/>
      <color rgb="FFFFFFFF"/>
      <name val="Arial"/>
      <charset val="1"/>
    </font>
    <font>
      <b/>
      <sz val="10"/>
      <color rgb="FFA1281B"/>
      <name val="Arial"/>
      <charset val="1"/>
    </font>
    <font>
      <i/>
      <sz val="10"/>
      <color rgb="FF8A94A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FF1D8"/>
      </patternFill>
    </fill>
    <fill>
      <patternFill patternType="solid">
        <fgColor rgb="FF0B2A4A"/>
        <bgColor rgb="FF333333"/>
      </patternFill>
    </fill>
    <fill>
      <patternFill patternType="solid">
        <fgColor rgb="FFE8F0FB"/>
        <bgColor rgb="FFF5F8FD"/>
      </patternFill>
    </fill>
    <fill>
      <patternFill patternType="solid">
        <fgColor rgb="FFFFFFFF"/>
        <bgColor rgb="FFF5F8FD"/>
      </patternFill>
    </fill>
    <fill>
      <patternFill patternType="solid">
        <fgColor rgb="FFF5F8FD"/>
        <bgColor rgb="FFFFFFFF"/>
      </patternFill>
    </fill>
  </fills>
  <borders count="2">
    <border>
      <left/>
      <right/>
      <top/>
      <bottom/>
      <diagonal/>
    </border>
    <border>
      <left style="thin">
        <color rgb="FFDFE5EE"/>
      </left>
      <right style="thin">
        <color rgb="FFDFE5EE"/>
      </right>
      <top style="thin">
        <color rgb="FFDFE5EE"/>
      </top>
      <bottom style="thin">
        <color rgb="FFDFE5E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4" fillId="2" borderId="0" xfId="0" applyFont="1" applyFill="1"/>
    <xf numFmtId="0" fontId="7" fillId="0" borderId="0" xfId="0" applyFont="1"/>
    <xf numFmtId="0" fontId="2" fillId="0" borderId="0" xfId="0" applyFont="1"/>
    <xf numFmtId="0" fontId="8" fillId="3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9" fontId="4" fillId="4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8A5A07"/>
        <name val="Arial"/>
        <charset val="1"/>
      </font>
      <fill>
        <patternFill>
          <bgColor rgb="FFFFF1D8"/>
        </patternFill>
      </fill>
    </dxf>
    <dxf>
      <font>
        <b/>
        <color rgb="FFA1281B"/>
        <name val="Arial"/>
        <charset val="1"/>
      </font>
      <fill>
        <patternFill>
          <bgColor rgb="FFFDE2DE"/>
        </patternFill>
      </fill>
    </dxf>
    <dxf>
      <font>
        <b/>
        <color rgb="FF1F6B43"/>
        <name val="Arial"/>
        <charset val="1"/>
      </font>
      <fill>
        <patternFill>
          <bgColor rgb="FFD9F2E3"/>
        </patternFill>
      </fill>
    </dxf>
    <dxf>
      <font>
        <b/>
        <color rgb="FFA1281B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7"/>
      <rgbColor rgb="FF800080"/>
      <rgbColor rgb="FF1F6B43"/>
      <rgbColor rgb="FFC0C0C0"/>
      <rgbColor rgb="FF808080"/>
      <rgbColor rgb="FF9999FF"/>
      <rgbColor rgb="FF993366"/>
      <rgbColor rgb="FFFFF8E1"/>
      <rgbColor rgb="FFE8F0FB"/>
      <rgbColor rgb="FF660066"/>
      <rgbColor rgb="FFFF8080"/>
      <rgbColor rgb="FF1554A8"/>
      <rgbColor rgb="FFDFE5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D"/>
      <rgbColor rgb="FFD9F2E3"/>
      <rgbColor rgb="FFFFF1D8"/>
      <rgbColor rgb="FF99CCFF"/>
      <rgbColor rgb="FFFF99CC"/>
      <rgbColor rgb="FFCC99FF"/>
      <rgbColor rgb="FFFDE2DE"/>
      <rgbColor rgb="FF3366FF"/>
      <rgbColor rgb="FF33CCCC"/>
      <rgbColor rgb="FF99CC00"/>
      <rgbColor rgb="FFFFCC00"/>
      <rgbColor rgb="FFFF9900"/>
      <rgbColor rgb="FFFF6600"/>
      <rgbColor rgb="FF657489"/>
      <rgbColor rgb="FF8A94A6"/>
      <rgbColor rgb="FF0B2A4A"/>
      <rgbColor rgb="FF339966"/>
      <rgbColor rgb="FF003300"/>
      <rgbColor rgb="FF333300"/>
      <rgbColor rgb="FFA1281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topLeftCell="A6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95" customWidth="1"/>
  </cols>
  <sheetData>
    <row r="2" spans="2:3" ht="81" x14ac:dyDescent="0.25">
      <c r="B2" s="1" t="s">
        <v>0</v>
      </c>
    </row>
    <row r="3" spans="2:3" ht="51" x14ac:dyDescent="0.25">
      <c r="B3" s="2" t="s">
        <v>1</v>
      </c>
    </row>
    <row r="5" spans="2:3" ht="15.75" x14ac:dyDescent="0.25">
      <c r="B5" s="3" t="s">
        <v>2</v>
      </c>
    </row>
    <row r="6" spans="2:3" ht="36" customHeight="1" x14ac:dyDescent="0.25">
      <c r="B6" s="4" t="s">
        <v>3</v>
      </c>
      <c r="C6" s="5" t="s">
        <v>4</v>
      </c>
    </row>
    <row r="7" spans="2:3" ht="36" customHeight="1" x14ac:dyDescent="0.25">
      <c r="B7" s="4" t="s">
        <v>5</v>
      </c>
      <c r="C7" s="5" t="s">
        <v>6</v>
      </c>
    </row>
    <row r="8" spans="2:3" ht="21" customHeight="1" x14ac:dyDescent="0.25">
      <c r="B8" s="4" t="s">
        <v>7</v>
      </c>
      <c r="C8" s="5" t="s">
        <v>8</v>
      </c>
    </row>
    <row r="9" spans="2:3" ht="21" customHeight="1" x14ac:dyDescent="0.25">
      <c r="B9" s="4" t="s">
        <v>9</v>
      </c>
      <c r="C9" s="5" t="s">
        <v>10</v>
      </c>
    </row>
    <row r="10" spans="2:3" ht="21" customHeight="1" x14ac:dyDescent="0.25">
      <c r="B10" s="4" t="s">
        <v>11</v>
      </c>
      <c r="C10" s="5" t="s">
        <v>12</v>
      </c>
    </row>
    <row r="12" spans="2:3" ht="47.25" x14ac:dyDescent="0.25">
      <c r="B12" s="3" t="s">
        <v>13</v>
      </c>
    </row>
    <row r="13" spans="2:3" x14ac:dyDescent="0.25">
      <c r="B13" s="6" t="s">
        <v>14</v>
      </c>
      <c r="C13" s="7" t="s">
        <v>15</v>
      </c>
    </row>
    <row r="14" spans="2:3" x14ac:dyDescent="0.25">
      <c r="B14" s="6" t="s">
        <v>16</v>
      </c>
      <c r="C14" s="7" t="s">
        <v>17</v>
      </c>
    </row>
    <row r="15" spans="2:3" x14ac:dyDescent="0.25">
      <c r="B15" s="6" t="s">
        <v>18</v>
      </c>
      <c r="C15" s="7" t="s">
        <v>19</v>
      </c>
    </row>
    <row r="16" spans="2:3" x14ac:dyDescent="0.25">
      <c r="B16" s="6" t="s">
        <v>20</v>
      </c>
      <c r="C16" s="7" t="s">
        <v>21</v>
      </c>
    </row>
    <row r="17" spans="2:3" x14ac:dyDescent="0.25">
      <c r="B17" s="6" t="s">
        <v>22</v>
      </c>
      <c r="C17" s="7" t="s">
        <v>23</v>
      </c>
    </row>
    <row r="18" spans="2:3" x14ac:dyDescent="0.25">
      <c r="B18" s="6" t="s">
        <v>24</v>
      </c>
      <c r="C18" s="7" t="s">
        <v>25</v>
      </c>
    </row>
    <row r="19" spans="2:3" x14ac:dyDescent="0.25">
      <c r="B19" s="6" t="s">
        <v>26</v>
      </c>
      <c r="C19" s="7" t="s">
        <v>27</v>
      </c>
    </row>
    <row r="20" spans="2:3" x14ac:dyDescent="0.25">
      <c r="B20" s="6" t="s">
        <v>28</v>
      </c>
      <c r="C20" s="7" t="s">
        <v>29</v>
      </c>
    </row>
    <row r="21" spans="2:3" x14ac:dyDescent="0.25">
      <c r="B21" s="6" t="s">
        <v>30</v>
      </c>
      <c r="C21" s="7" t="s">
        <v>31</v>
      </c>
    </row>
    <row r="23" spans="2:3" ht="15.75" x14ac:dyDescent="0.25">
      <c r="B23" s="3" t="s">
        <v>32</v>
      </c>
    </row>
    <row r="24" spans="2:3" ht="25.5" x14ac:dyDescent="0.25">
      <c r="B24" s="8" t="s">
        <v>33</v>
      </c>
      <c r="C24" s="5" t="s">
        <v>34</v>
      </c>
    </row>
    <row r="25" spans="2:3" x14ac:dyDescent="0.25">
      <c r="B25" s="4" t="s">
        <v>35</v>
      </c>
      <c r="C25" s="5" t="s">
        <v>36</v>
      </c>
    </row>
    <row r="26" spans="2:3" ht="25.5" x14ac:dyDescent="0.25">
      <c r="B26" s="4" t="s">
        <v>37</v>
      </c>
      <c r="C26" s="5" t="s">
        <v>38</v>
      </c>
    </row>
    <row r="27" spans="2:3" x14ac:dyDescent="0.25">
      <c r="B27" s="4" t="s">
        <v>39</v>
      </c>
      <c r="C27" s="5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1"/>
  <sheetViews>
    <sheetView showGridLines="0" topLeftCell="A15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9" width="11" customWidth="1"/>
  </cols>
  <sheetData>
    <row r="2" spans="2:9" ht="18" x14ac:dyDescent="0.25">
      <c r="B2" s="9" t="s">
        <v>41</v>
      </c>
    </row>
    <row r="3" spans="2:9" x14ac:dyDescent="0.25">
      <c r="B3" s="10" t="s">
        <v>42</v>
      </c>
    </row>
    <row r="5" spans="2:9" x14ac:dyDescent="0.25">
      <c r="B5" s="11" t="s">
        <v>43</v>
      </c>
      <c r="C5" s="11" t="s">
        <v>44</v>
      </c>
      <c r="D5" s="11" t="s">
        <v>45</v>
      </c>
      <c r="E5" s="11" t="s">
        <v>37</v>
      </c>
      <c r="F5" s="11" t="s">
        <v>46</v>
      </c>
      <c r="G5" s="11" t="s">
        <v>47</v>
      </c>
      <c r="H5" s="11" t="s">
        <v>48</v>
      </c>
      <c r="I5" s="11" t="s">
        <v>49</v>
      </c>
    </row>
    <row r="6" spans="2:9" x14ac:dyDescent="0.25">
      <c r="B6" s="12" t="s">
        <v>50</v>
      </c>
      <c r="C6" s="13">
        <f>COUNTIF('Test script'!$B$2:$B$133,B6)</f>
        <v>11</v>
      </c>
      <c r="D6" s="13">
        <f>COUNTIFS('Test script'!$B$2:$B$133,$B6,'Test script'!$H$2:$H$133,"Pass")</f>
        <v>0</v>
      </c>
      <c r="E6" s="13">
        <f>COUNTIFS('Test script'!$B$2:$B$133,$B6,'Test script'!$H$2:$H$133,"Fail")</f>
        <v>0</v>
      </c>
      <c r="F6" s="13">
        <f>COUNTIFS('Test script'!$B$2:$B$133,$B6,'Test script'!$H$2:$H$133,"Blocked")</f>
        <v>0</v>
      </c>
      <c r="G6" s="13">
        <f>COUNTIFS('Test script'!$B$2:$B$133,$B6,'Test script'!$H$2:$H$133,"Not run")</f>
        <v>11</v>
      </c>
      <c r="H6" s="13">
        <f t="shared" ref="H6:H18" si="0">C6-G6</f>
        <v>0</v>
      </c>
      <c r="I6" s="14" t="str">
        <f t="shared" ref="I6:I19" si="1">IF(H6=0,"-",D6/H6)</f>
        <v>-</v>
      </c>
    </row>
    <row r="7" spans="2:9" x14ac:dyDescent="0.25">
      <c r="B7" s="12" t="s">
        <v>51</v>
      </c>
      <c r="C7" s="13">
        <f>COUNTIF('Test script'!$B$2:$B$133,B7)</f>
        <v>8</v>
      </c>
      <c r="D7" s="13">
        <f>COUNTIFS('Test script'!$B$2:$B$133,$B7,'Test script'!$H$2:$H$133,"Pass")</f>
        <v>0</v>
      </c>
      <c r="E7" s="13">
        <f>COUNTIFS('Test script'!$B$2:$B$133,$B7,'Test script'!$H$2:$H$133,"Fail")</f>
        <v>0</v>
      </c>
      <c r="F7" s="13">
        <f>COUNTIFS('Test script'!$B$2:$B$133,$B7,'Test script'!$H$2:$H$133,"Blocked")</f>
        <v>0</v>
      </c>
      <c r="G7" s="13">
        <f>COUNTIFS('Test script'!$B$2:$B$133,$B7,'Test script'!$H$2:$H$133,"Not run")</f>
        <v>8</v>
      </c>
      <c r="H7" s="13">
        <f t="shared" si="0"/>
        <v>0</v>
      </c>
      <c r="I7" s="14" t="str">
        <f t="shared" si="1"/>
        <v>-</v>
      </c>
    </row>
    <row r="8" spans="2:9" x14ac:dyDescent="0.25">
      <c r="B8" s="12" t="s">
        <v>52</v>
      </c>
      <c r="C8" s="13">
        <f>COUNTIF('Test script'!$B$2:$B$133,B8)</f>
        <v>7</v>
      </c>
      <c r="D8" s="13">
        <f>COUNTIFS('Test script'!$B$2:$B$133,$B8,'Test script'!$H$2:$H$133,"Pass")</f>
        <v>0</v>
      </c>
      <c r="E8" s="13">
        <f>COUNTIFS('Test script'!$B$2:$B$133,$B8,'Test script'!$H$2:$H$133,"Fail")</f>
        <v>0</v>
      </c>
      <c r="F8" s="13">
        <f>COUNTIFS('Test script'!$B$2:$B$133,$B8,'Test script'!$H$2:$H$133,"Blocked")</f>
        <v>0</v>
      </c>
      <c r="G8" s="13">
        <f>COUNTIFS('Test script'!$B$2:$B$133,$B8,'Test script'!$H$2:$H$133,"Not run")</f>
        <v>7</v>
      </c>
      <c r="H8" s="13">
        <f t="shared" si="0"/>
        <v>0</v>
      </c>
      <c r="I8" s="14" t="str">
        <f t="shared" si="1"/>
        <v>-</v>
      </c>
    </row>
    <row r="9" spans="2:9" x14ac:dyDescent="0.25">
      <c r="B9" s="12" t="s">
        <v>53</v>
      </c>
      <c r="C9" s="13">
        <f>COUNTIF('Test script'!$B$2:$B$133,B9)</f>
        <v>9</v>
      </c>
      <c r="D9" s="13">
        <f>COUNTIFS('Test script'!$B$2:$B$133,$B9,'Test script'!$H$2:$H$133,"Pass")</f>
        <v>0</v>
      </c>
      <c r="E9" s="13">
        <f>COUNTIFS('Test script'!$B$2:$B$133,$B9,'Test script'!$H$2:$H$133,"Fail")</f>
        <v>0</v>
      </c>
      <c r="F9" s="13">
        <f>COUNTIFS('Test script'!$B$2:$B$133,$B9,'Test script'!$H$2:$H$133,"Blocked")</f>
        <v>0</v>
      </c>
      <c r="G9" s="13">
        <f>COUNTIFS('Test script'!$B$2:$B$133,$B9,'Test script'!$H$2:$H$133,"Not run")</f>
        <v>9</v>
      </c>
      <c r="H9" s="13">
        <f t="shared" si="0"/>
        <v>0</v>
      </c>
      <c r="I9" s="14" t="str">
        <f t="shared" si="1"/>
        <v>-</v>
      </c>
    </row>
    <row r="10" spans="2:9" x14ac:dyDescent="0.25">
      <c r="B10" s="12" t="s">
        <v>54</v>
      </c>
      <c r="C10" s="13">
        <f>COUNTIF('Test script'!$B$2:$B$133,B10)</f>
        <v>8</v>
      </c>
      <c r="D10" s="13">
        <f>COUNTIFS('Test script'!$B$2:$B$133,$B10,'Test script'!$H$2:$H$133,"Pass")</f>
        <v>0</v>
      </c>
      <c r="E10" s="13">
        <f>COUNTIFS('Test script'!$B$2:$B$133,$B10,'Test script'!$H$2:$H$133,"Fail")</f>
        <v>0</v>
      </c>
      <c r="F10" s="13">
        <f>COUNTIFS('Test script'!$B$2:$B$133,$B10,'Test script'!$H$2:$H$133,"Blocked")</f>
        <v>0</v>
      </c>
      <c r="G10" s="13">
        <f>COUNTIFS('Test script'!$B$2:$B$133,$B10,'Test script'!$H$2:$H$133,"Not run")</f>
        <v>8</v>
      </c>
      <c r="H10" s="13">
        <f t="shared" si="0"/>
        <v>0</v>
      </c>
      <c r="I10" s="14" t="str">
        <f t="shared" si="1"/>
        <v>-</v>
      </c>
    </row>
    <row r="11" spans="2:9" x14ac:dyDescent="0.25">
      <c r="B11" s="12" t="s">
        <v>55</v>
      </c>
      <c r="C11" s="13">
        <f>COUNTIF('Test script'!$B$2:$B$133,B11)</f>
        <v>9</v>
      </c>
      <c r="D11" s="13">
        <f>COUNTIFS('Test script'!$B$2:$B$133,$B11,'Test script'!$H$2:$H$133,"Pass")</f>
        <v>0</v>
      </c>
      <c r="E11" s="13">
        <f>COUNTIFS('Test script'!$B$2:$B$133,$B11,'Test script'!$H$2:$H$133,"Fail")</f>
        <v>0</v>
      </c>
      <c r="F11" s="13">
        <f>COUNTIFS('Test script'!$B$2:$B$133,$B11,'Test script'!$H$2:$H$133,"Blocked")</f>
        <v>0</v>
      </c>
      <c r="G11" s="13">
        <f>COUNTIFS('Test script'!$B$2:$B$133,$B11,'Test script'!$H$2:$H$133,"Not run")</f>
        <v>9</v>
      </c>
      <c r="H11" s="13">
        <f t="shared" si="0"/>
        <v>0</v>
      </c>
      <c r="I11" s="14" t="str">
        <f t="shared" si="1"/>
        <v>-</v>
      </c>
    </row>
    <row r="12" spans="2:9" x14ac:dyDescent="0.25">
      <c r="B12" s="12" t="s">
        <v>56</v>
      </c>
      <c r="C12" s="13">
        <f>COUNTIF('Test script'!$B$2:$B$133,B12)</f>
        <v>8</v>
      </c>
      <c r="D12" s="13">
        <f>COUNTIFS('Test script'!$B$2:$B$133,$B12,'Test script'!$H$2:$H$133,"Pass")</f>
        <v>0</v>
      </c>
      <c r="E12" s="13">
        <f>COUNTIFS('Test script'!$B$2:$B$133,$B12,'Test script'!$H$2:$H$133,"Fail")</f>
        <v>0</v>
      </c>
      <c r="F12" s="13">
        <f>COUNTIFS('Test script'!$B$2:$B$133,$B12,'Test script'!$H$2:$H$133,"Blocked")</f>
        <v>0</v>
      </c>
      <c r="G12" s="13">
        <f>COUNTIFS('Test script'!$B$2:$B$133,$B12,'Test script'!$H$2:$H$133,"Not run")</f>
        <v>8</v>
      </c>
      <c r="H12" s="13">
        <f t="shared" si="0"/>
        <v>0</v>
      </c>
      <c r="I12" s="14" t="str">
        <f t="shared" si="1"/>
        <v>-</v>
      </c>
    </row>
    <row r="13" spans="2:9" x14ac:dyDescent="0.25">
      <c r="B13" s="12" t="s">
        <v>57</v>
      </c>
      <c r="C13" s="13">
        <f>COUNTIF('Test script'!$B$2:$B$133,B13)</f>
        <v>16</v>
      </c>
      <c r="D13" s="13">
        <f>COUNTIFS('Test script'!$B$2:$B$133,$B13,'Test script'!$H$2:$H$133,"Pass")</f>
        <v>0</v>
      </c>
      <c r="E13" s="13">
        <f>COUNTIFS('Test script'!$B$2:$B$133,$B13,'Test script'!$H$2:$H$133,"Fail")</f>
        <v>0</v>
      </c>
      <c r="F13" s="13">
        <f>COUNTIFS('Test script'!$B$2:$B$133,$B13,'Test script'!$H$2:$H$133,"Blocked")</f>
        <v>0</v>
      </c>
      <c r="G13" s="13">
        <f>COUNTIFS('Test script'!$B$2:$B$133,$B13,'Test script'!$H$2:$H$133,"Not run")</f>
        <v>16</v>
      </c>
      <c r="H13" s="13">
        <f t="shared" si="0"/>
        <v>0</v>
      </c>
      <c r="I13" s="14" t="str">
        <f t="shared" si="1"/>
        <v>-</v>
      </c>
    </row>
    <row r="14" spans="2:9" x14ac:dyDescent="0.25">
      <c r="B14" s="12" t="s">
        <v>58</v>
      </c>
      <c r="C14" s="13">
        <f>COUNTIF('Test script'!$B$2:$B$133,B14)</f>
        <v>14</v>
      </c>
      <c r="D14" s="13">
        <f>COUNTIFS('Test script'!$B$2:$B$133,$B14,'Test script'!$H$2:$H$133,"Pass")</f>
        <v>0</v>
      </c>
      <c r="E14" s="13">
        <f>COUNTIFS('Test script'!$B$2:$B$133,$B14,'Test script'!$H$2:$H$133,"Fail")</f>
        <v>0</v>
      </c>
      <c r="F14" s="13">
        <f>COUNTIFS('Test script'!$B$2:$B$133,$B14,'Test script'!$H$2:$H$133,"Blocked")</f>
        <v>0</v>
      </c>
      <c r="G14" s="13">
        <f>COUNTIFS('Test script'!$B$2:$B$133,$B14,'Test script'!$H$2:$H$133,"Not run")</f>
        <v>14</v>
      </c>
      <c r="H14" s="13">
        <f t="shared" si="0"/>
        <v>0</v>
      </c>
      <c r="I14" s="14" t="str">
        <f t="shared" si="1"/>
        <v>-</v>
      </c>
    </row>
    <row r="15" spans="2:9" x14ac:dyDescent="0.25">
      <c r="B15" s="12" t="s">
        <v>59</v>
      </c>
      <c r="C15" s="13">
        <f>COUNTIF('Test script'!$B$2:$B$133,B15)</f>
        <v>10</v>
      </c>
      <c r="D15" s="13">
        <f>COUNTIFS('Test script'!$B$2:$B$133,$B15,'Test script'!$H$2:$H$133,"Pass")</f>
        <v>0</v>
      </c>
      <c r="E15" s="13">
        <f>COUNTIFS('Test script'!$B$2:$B$133,$B15,'Test script'!$H$2:$H$133,"Fail")</f>
        <v>0</v>
      </c>
      <c r="F15" s="13">
        <f>COUNTIFS('Test script'!$B$2:$B$133,$B15,'Test script'!$H$2:$H$133,"Blocked")</f>
        <v>0</v>
      </c>
      <c r="G15" s="13">
        <f>COUNTIFS('Test script'!$B$2:$B$133,$B15,'Test script'!$H$2:$H$133,"Not run")</f>
        <v>10</v>
      </c>
      <c r="H15" s="13">
        <f t="shared" si="0"/>
        <v>0</v>
      </c>
      <c r="I15" s="14" t="str">
        <f t="shared" si="1"/>
        <v>-</v>
      </c>
    </row>
    <row r="16" spans="2:9" x14ac:dyDescent="0.25">
      <c r="B16" s="12" t="s">
        <v>60</v>
      </c>
      <c r="C16" s="13">
        <f>COUNTIF('Test script'!$B$2:$B$133,B16)</f>
        <v>15</v>
      </c>
      <c r="D16" s="13">
        <f>COUNTIFS('Test script'!$B$2:$B$133,$B16,'Test script'!$H$2:$H$133,"Pass")</f>
        <v>0</v>
      </c>
      <c r="E16" s="13">
        <f>COUNTIFS('Test script'!$B$2:$B$133,$B16,'Test script'!$H$2:$H$133,"Fail")</f>
        <v>0</v>
      </c>
      <c r="F16" s="13">
        <f>COUNTIFS('Test script'!$B$2:$B$133,$B16,'Test script'!$H$2:$H$133,"Blocked")</f>
        <v>0</v>
      </c>
      <c r="G16" s="13">
        <f>COUNTIFS('Test script'!$B$2:$B$133,$B16,'Test script'!$H$2:$H$133,"Not run")</f>
        <v>15</v>
      </c>
      <c r="H16" s="13">
        <f t="shared" si="0"/>
        <v>0</v>
      </c>
      <c r="I16" s="14" t="str">
        <f t="shared" si="1"/>
        <v>-</v>
      </c>
    </row>
    <row r="17" spans="2:9" x14ac:dyDescent="0.25">
      <c r="B17" s="12" t="s">
        <v>61</v>
      </c>
      <c r="C17" s="13">
        <f>COUNTIF('Test script'!$B$2:$B$133,B17)</f>
        <v>13</v>
      </c>
      <c r="D17" s="13">
        <f>COUNTIFS('Test script'!$B$2:$B$133,$B17,'Test script'!$H$2:$H$133,"Pass")</f>
        <v>0</v>
      </c>
      <c r="E17" s="13">
        <f>COUNTIFS('Test script'!$B$2:$B$133,$B17,'Test script'!$H$2:$H$133,"Fail")</f>
        <v>0</v>
      </c>
      <c r="F17" s="13">
        <f>COUNTIFS('Test script'!$B$2:$B$133,$B17,'Test script'!$H$2:$H$133,"Blocked")</f>
        <v>0</v>
      </c>
      <c r="G17" s="13">
        <f>COUNTIFS('Test script'!$B$2:$B$133,$B17,'Test script'!$H$2:$H$133,"Not run")</f>
        <v>13</v>
      </c>
      <c r="H17" s="13">
        <f t="shared" si="0"/>
        <v>0</v>
      </c>
      <c r="I17" s="14" t="str">
        <f t="shared" si="1"/>
        <v>-</v>
      </c>
    </row>
    <row r="18" spans="2:9" x14ac:dyDescent="0.25">
      <c r="B18" s="12" t="s">
        <v>62</v>
      </c>
      <c r="C18" s="13">
        <f>COUNTIF('Test script'!$B$2:$B$133,B18)</f>
        <v>4</v>
      </c>
      <c r="D18" s="13">
        <f>COUNTIFS('Test script'!$B$2:$B$133,$B18,'Test script'!$H$2:$H$133,"Pass")</f>
        <v>0</v>
      </c>
      <c r="E18" s="13">
        <f>COUNTIFS('Test script'!$B$2:$B$133,$B18,'Test script'!$H$2:$H$133,"Fail")</f>
        <v>0</v>
      </c>
      <c r="F18" s="13">
        <f>COUNTIFS('Test script'!$B$2:$B$133,$B18,'Test script'!$H$2:$H$133,"Blocked")</f>
        <v>0</v>
      </c>
      <c r="G18" s="13">
        <f>COUNTIFS('Test script'!$B$2:$B$133,$B18,'Test script'!$H$2:$H$133,"Not run")</f>
        <v>4</v>
      </c>
      <c r="H18" s="13">
        <f t="shared" si="0"/>
        <v>0</v>
      </c>
      <c r="I18" s="14" t="str">
        <f t="shared" si="1"/>
        <v>-</v>
      </c>
    </row>
    <row r="19" spans="2:9" x14ac:dyDescent="0.25">
      <c r="B19" s="15" t="s">
        <v>63</v>
      </c>
      <c r="C19" s="16">
        <f t="shared" ref="C19:H19" si="2">SUM(C6:C18)</f>
        <v>132</v>
      </c>
      <c r="D19" s="16">
        <f t="shared" si="2"/>
        <v>0</v>
      </c>
      <c r="E19" s="16">
        <f t="shared" si="2"/>
        <v>0</v>
      </c>
      <c r="F19" s="16">
        <f t="shared" si="2"/>
        <v>0</v>
      </c>
      <c r="G19" s="16">
        <f t="shared" si="2"/>
        <v>132</v>
      </c>
      <c r="H19" s="16">
        <f t="shared" si="2"/>
        <v>0</v>
      </c>
      <c r="I19" s="17" t="str">
        <f t="shared" si="1"/>
        <v>-</v>
      </c>
    </row>
    <row r="21" spans="2:9" x14ac:dyDescent="0.25">
      <c r="B21" s="4" t="s">
        <v>64</v>
      </c>
      <c r="C21" s="18">
        <f>COUNTIF(Defects!$G$3:$G$500,"Open")</f>
        <v>0</v>
      </c>
    </row>
  </sheetData>
  <conditionalFormatting sqref="E6:E19">
    <cfRule type="cellIs" dxfId="3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3"/>
  <sheetViews>
    <sheetView tabSelected="1" zoomScaleNormal="100" workbookViewId="0">
      <pane xSplit="2" ySplit="1" topLeftCell="C59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22" customWidth="1"/>
    <col min="3" max="4" width="18" customWidth="1"/>
    <col min="5" max="5" width="52" customWidth="1"/>
    <col min="6" max="6" width="30" customWidth="1"/>
    <col min="7" max="7" width="60" customWidth="1"/>
    <col min="8" max="8" width="11" customWidth="1"/>
    <col min="9" max="9" width="40" customWidth="1"/>
    <col min="10" max="11" width="12" customWidth="1"/>
  </cols>
  <sheetData>
    <row r="1" spans="1:11" ht="24" customHeight="1" x14ac:dyDescent="0.25">
      <c r="A1" s="19" t="s">
        <v>65</v>
      </c>
      <c r="B1" s="19" t="s">
        <v>43</v>
      </c>
      <c r="C1" s="19" t="s">
        <v>66</v>
      </c>
      <c r="D1" s="19" t="s">
        <v>67</v>
      </c>
      <c r="E1" s="19" t="s">
        <v>44</v>
      </c>
      <c r="F1" s="19" t="s">
        <v>68</v>
      </c>
      <c r="G1" s="19" t="s">
        <v>69</v>
      </c>
      <c r="H1" s="19" t="s">
        <v>35</v>
      </c>
      <c r="I1" s="19" t="s">
        <v>70</v>
      </c>
      <c r="J1" s="19" t="s">
        <v>71</v>
      </c>
      <c r="K1" s="19" t="s">
        <v>72</v>
      </c>
    </row>
    <row r="2" spans="1:11" ht="45.75" customHeight="1" x14ac:dyDescent="0.25">
      <c r="A2" s="20" t="s">
        <v>73</v>
      </c>
      <c r="B2" s="21" t="s">
        <v>50</v>
      </c>
      <c r="C2" s="21" t="s">
        <v>74</v>
      </c>
      <c r="D2" s="21" t="s">
        <v>75</v>
      </c>
      <c r="E2" s="21" t="s">
        <v>76</v>
      </c>
      <c r="F2" s="21" t="s">
        <v>77</v>
      </c>
      <c r="G2" s="21" t="s">
        <v>78</v>
      </c>
      <c r="H2" s="22" t="s">
        <v>47</v>
      </c>
      <c r="I2" s="22"/>
      <c r="J2" s="22"/>
      <c r="K2" s="23"/>
    </row>
    <row r="3" spans="1:11" ht="45.75" customHeight="1" x14ac:dyDescent="0.25">
      <c r="A3" s="20" t="s">
        <v>79</v>
      </c>
      <c r="B3" s="21" t="s">
        <v>50</v>
      </c>
      <c r="C3" s="21" t="s">
        <v>80</v>
      </c>
      <c r="D3" s="21" t="s">
        <v>75</v>
      </c>
      <c r="E3" s="21" t="s">
        <v>81</v>
      </c>
      <c r="F3" s="21" t="s">
        <v>77</v>
      </c>
      <c r="G3" s="21" t="s">
        <v>82</v>
      </c>
      <c r="H3" s="22" t="s">
        <v>47</v>
      </c>
      <c r="I3" s="22"/>
      <c r="J3" s="22"/>
      <c r="K3" s="23"/>
    </row>
    <row r="4" spans="1:11" ht="45.75" customHeight="1" x14ac:dyDescent="0.25">
      <c r="A4" s="20" t="s">
        <v>83</v>
      </c>
      <c r="B4" s="21" t="s">
        <v>50</v>
      </c>
      <c r="C4" s="21" t="s">
        <v>84</v>
      </c>
      <c r="D4" s="21" t="s">
        <v>75</v>
      </c>
      <c r="E4" s="21" t="s">
        <v>85</v>
      </c>
      <c r="F4" s="21" t="s">
        <v>86</v>
      </c>
      <c r="G4" s="21" t="s">
        <v>87</v>
      </c>
      <c r="H4" s="22" t="s">
        <v>47</v>
      </c>
      <c r="I4" s="22"/>
      <c r="J4" s="22"/>
      <c r="K4" s="23"/>
    </row>
    <row r="5" spans="1:11" ht="31.5" customHeight="1" x14ac:dyDescent="0.25">
      <c r="A5" s="20" t="s">
        <v>88</v>
      </c>
      <c r="B5" s="21" t="s">
        <v>50</v>
      </c>
      <c r="C5" s="21" t="s">
        <v>84</v>
      </c>
      <c r="D5" s="21" t="s">
        <v>75</v>
      </c>
      <c r="E5" s="21" t="s">
        <v>89</v>
      </c>
      <c r="F5" s="21" t="s">
        <v>90</v>
      </c>
      <c r="G5" s="21" t="s">
        <v>91</v>
      </c>
      <c r="H5" s="22" t="s">
        <v>47</v>
      </c>
      <c r="I5" s="22"/>
      <c r="J5" s="22"/>
      <c r="K5" s="23"/>
    </row>
    <row r="6" spans="1:11" ht="31.5" customHeight="1" x14ac:dyDescent="0.25">
      <c r="A6" s="20" t="s">
        <v>92</v>
      </c>
      <c r="B6" s="21" t="s">
        <v>50</v>
      </c>
      <c r="C6" s="21" t="s">
        <v>84</v>
      </c>
      <c r="D6" s="21" t="s">
        <v>93</v>
      </c>
      <c r="E6" s="21" t="s">
        <v>94</v>
      </c>
      <c r="F6" s="21" t="s">
        <v>77</v>
      </c>
      <c r="G6" s="21" t="s">
        <v>95</v>
      </c>
      <c r="H6" s="22" t="s">
        <v>47</v>
      </c>
      <c r="I6" s="22"/>
      <c r="J6" s="22"/>
      <c r="K6" s="23"/>
    </row>
    <row r="7" spans="1:11" ht="45.75" customHeight="1" x14ac:dyDescent="0.25">
      <c r="A7" s="20" t="s">
        <v>96</v>
      </c>
      <c r="B7" s="21" t="s">
        <v>50</v>
      </c>
      <c r="C7" s="21" t="s">
        <v>97</v>
      </c>
      <c r="D7" s="21" t="s">
        <v>93</v>
      </c>
      <c r="E7" s="21" t="s">
        <v>98</v>
      </c>
      <c r="F7" s="21" t="s">
        <v>99</v>
      </c>
      <c r="G7" s="21" t="s">
        <v>100</v>
      </c>
      <c r="H7" s="22" t="s">
        <v>47</v>
      </c>
      <c r="I7" s="22"/>
      <c r="J7" s="22"/>
      <c r="K7" s="23"/>
    </row>
    <row r="8" spans="1:11" ht="45.75" customHeight="1" x14ac:dyDescent="0.25">
      <c r="A8" s="20" t="s">
        <v>101</v>
      </c>
      <c r="B8" s="21" t="s">
        <v>50</v>
      </c>
      <c r="C8" s="21" t="s">
        <v>102</v>
      </c>
      <c r="D8" s="21" t="s">
        <v>103</v>
      </c>
      <c r="E8" s="21" t="s">
        <v>104</v>
      </c>
      <c r="F8" s="21" t="s">
        <v>77</v>
      </c>
      <c r="G8" s="21" t="s">
        <v>105</v>
      </c>
      <c r="H8" s="22" t="s">
        <v>47</v>
      </c>
      <c r="I8" s="22"/>
      <c r="J8" s="22"/>
      <c r="K8" s="23"/>
    </row>
    <row r="9" spans="1:11" ht="31.5" customHeight="1" x14ac:dyDescent="0.25">
      <c r="A9" s="20" t="s">
        <v>106</v>
      </c>
      <c r="B9" s="21" t="s">
        <v>50</v>
      </c>
      <c r="C9" s="21" t="s">
        <v>102</v>
      </c>
      <c r="D9" s="21" t="s">
        <v>103</v>
      </c>
      <c r="E9" s="21" t="s">
        <v>107</v>
      </c>
      <c r="F9" s="21" t="s">
        <v>77</v>
      </c>
      <c r="G9" s="21" t="s">
        <v>108</v>
      </c>
      <c r="H9" s="22" t="s">
        <v>47</v>
      </c>
      <c r="I9" s="22"/>
      <c r="J9" s="22"/>
      <c r="K9" s="23"/>
    </row>
    <row r="10" spans="1:11" ht="31.5" customHeight="1" x14ac:dyDescent="0.25">
      <c r="A10" s="20" t="s">
        <v>109</v>
      </c>
      <c r="B10" s="21" t="s">
        <v>50</v>
      </c>
      <c r="C10" s="21" t="s">
        <v>110</v>
      </c>
      <c r="D10" s="21" t="s">
        <v>111</v>
      </c>
      <c r="E10" s="21" t="s">
        <v>112</v>
      </c>
      <c r="F10" s="21" t="s">
        <v>77</v>
      </c>
      <c r="G10" s="21" t="s">
        <v>113</v>
      </c>
      <c r="H10" s="22" t="s">
        <v>47</v>
      </c>
      <c r="I10" s="22"/>
      <c r="J10" s="22"/>
      <c r="K10" s="23"/>
    </row>
    <row r="11" spans="1:11" ht="31.5" customHeight="1" x14ac:dyDescent="0.25">
      <c r="A11" s="20" t="s">
        <v>114</v>
      </c>
      <c r="B11" s="21" t="s">
        <v>50</v>
      </c>
      <c r="C11" s="21" t="s">
        <v>110</v>
      </c>
      <c r="D11" s="21" t="s">
        <v>115</v>
      </c>
      <c r="E11" s="21" t="s">
        <v>116</v>
      </c>
      <c r="F11" s="21" t="s">
        <v>77</v>
      </c>
      <c r="G11" s="21" t="s">
        <v>117</v>
      </c>
      <c r="H11" s="22" t="s">
        <v>47</v>
      </c>
      <c r="I11" s="22"/>
      <c r="J11" s="22"/>
      <c r="K11" s="23"/>
    </row>
    <row r="12" spans="1:11" ht="31.5" customHeight="1" x14ac:dyDescent="0.25">
      <c r="A12" s="20" t="s">
        <v>118</v>
      </c>
      <c r="B12" s="21" t="s">
        <v>50</v>
      </c>
      <c r="C12" s="21" t="s">
        <v>119</v>
      </c>
      <c r="D12" s="21" t="s">
        <v>103</v>
      </c>
      <c r="E12" s="21" t="s">
        <v>120</v>
      </c>
      <c r="F12" s="21" t="s">
        <v>77</v>
      </c>
      <c r="G12" s="21" t="s">
        <v>121</v>
      </c>
      <c r="H12" s="22" t="s">
        <v>47</v>
      </c>
      <c r="I12" s="22"/>
      <c r="J12" s="22"/>
      <c r="K12" s="23"/>
    </row>
    <row r="13" spans="1:11" ht="45.75" customHeight="1" x14ac:dyDescent="0.25">
      <c r="A13" s="24" t="s">
        <v>122</v>
      </c>
      <c r="B13" s="25" t="s">
        <v>51</v>
      </c>
      <c r="C13" s="25" t="s">
        <v>123</v>
      </c>
      <c r="D13" s="25" t="s">
        <v>124</v>
      </c>
      <c r="E13" s="25" t="s">
        <v>125</v>
      </c>
      <c r="F13" s="25" t="s">
        <v>77</v>
      </c>
      <c r="G13" s="25" t="s">
        <v>126</v>
      </c>
      <c r="H13" s="22" t="s">
        <v>47</v>
      </c>
      <c r="I13" s="22"/>
      <c r="J13" s="22"/>
      <c r="K13" s="23"/>
    </row>
    <row r="14" spans="1:11" ht="31.5" customHeight="1" x14ac:dyDescent="0.25">
      <c r="A14" s="24" t="s">
        <v>127</v>
      </c>
      <c r="B14" s="25" t="s">
        <v>51</v>
      </c>
      <c r="C14" s="25" t="s">
        <v>128</v>
      </c>
      <c r="D14" s="25" t="s">
        <v>129</v>
      </c>
      <c r="E14" s="25" t="s">
        <v>130</v>
      </c>
      <c r="F14" s="25" t="s">
        <v>77</v>
      </c>
      <c r="G14" s="25" t="s">
        <v>131</v>
      </c>
      <c r="H14" s="22" t="s">
        <v>47</v>
      </c>
      <c r="I14" s="22"/>
      <c r="J14" s="22"/>
      <c r="K14" s="23"/>
    </row>
    <row r="15" spans="1:11" ht="31.5" customHeight="1" x14ac:dyDescent="0.25">
      <c r="A15" s="24" t="s">
        <v>132</v>
      </c>
      <c r="B15" s="25" t="s">
        <v>51</v>
      </c>
      <c r="C15" s="25" t="s">
        <v>133</v>
      </c>
      <c r="D15" s="25" t="s">
        <v>124</v>
      </c>
      <c r="E15" s="25" t="s">
        <v>134</v>
      </c>
      <c r="F15" s="25" t="s">
        <v>77</v>
      </c>
      <c r="G15" s="25" t="s">
        <v>135</v>
      </c>
      <c r="H15" s="22" t="s">
        <v>47</v>
      </c>
      <c r="I15" s="22"/>
      <c r="J15" s="22"/>
      <c r="K15" s="23"/>
    </row>
    <row r="16" spans="1:11" ht="31.5" customHeight="1" x14ac:dyDescent="0.25">
      <c r="A16" s="24" t="s">
        <v>136</v>
      </c>
      <c r="B16" s="25" t="s">
        <v>51</v>
      </c>
      <c r="C16" s="25" t="s">
        <v>137</v>
      </c>
      <c r="D16" s="25" t="s">
        <v>124</v>
      </c>
      <c r="E16" s="25" t="s">
        <v>138</v>
      </c>
      <c r="F16" s="25" t="s">
        <v>139</v>
      </c>
      <c r="G16" s="25" t="s">
        <v>140</v>
      </c>
      <c r="H16" s="22" t="s">
        <v>47</v>
      </c>
      <c r="I16" s="22"/>
      <c r="J16" s="22"/>
      <c r="K16" s="23"/>
    </row>
    <row r="17" spans="1:11" ht="45.75" customHeight="1" x14ac:dyDescent="0.25">
      <c r="A17" s="24" t="s">
        <v>141</v>
      </c>
      <c r="B17" s="25" t="s">
        <v>51</v>
      </c>
      <c r="C17" s="25" t="s">
        <v>142</v>
      </c>
      <c r="D17" s="25" t="s">
        <v>103</v>
      </c>
      <c r="E17" s="25" t="s">
        <v>143</v>
      </c>
      <c r="F17" s="25" t="s">
        <v>144</v>
      </c>
      <c r="G17" s="25" t="s">
        <v>145</v>
      </c>
      <c r="H17" s="22" t="s">
        <v>47</v>
      </c>
      <c r="I17" s="22"/>
      <c r="J17" s="22"/>
      <c r="K17" s="23"/>
    </row>
    <row r="18" spans="1:11" ht="31.5" customHeight="1" x14ac:dyDescent="0.25">
      <c r="A18" s="24" t="s">
        <v>146</v>
      </c>
      <c r="B18" s="25" t="s">
        <v>51</v>
      </c>
      <c r="C18" s="25" t="s">
        <v>147</v>
      </c>
      <c r="D18" s="25" t="s">
        <v>103</v>
      </c>
      <c r="E18" s="25" t="s">
        <v>148</v>
      </c>
      <c r="F18" s="25" t="s">
        <v>149</v>
      </c>
      <c r="G18" s="25" t="s">
        <v>150</v>
      </c>
      <c r="H18" s="22" t="s">
        <v>47</v>
      </c>
      <c r="I18" s="22"/>
      <c r="J18" s="22"/>
      <c r="K18" s="23"/>
    </row>
    <row r="19" spans="1:11" ht="31.5" customHeight="1" x14ac:dyDescent="0.25">
      <c r="A19" s="24" t="s">
        <v>151</v>
      </c>
      <c r="B19" s="25" t="s">
        <v>51</v>
      </c>
      <c r="C19" s="25" t="s">
        <v>152</v>
      </c>
      <c r="D19" s="25" t="s">
        <v>129</v>
      </c>
      <c r="E19" s="25" t="s">
        <v>153</v>
      </c>
      <c r="F19" s="25" t="s">
        <v>154</v>
      </c>
      <c r="G19" s="25" t="s">
        <v>155</v>
      </c>
      <c r="H19" s="22" t="s">
        <v>47</v>
      </c>
      <c r="I19" s="22"/>
      <c r="J19" s="22"/>
      <c r="K19" s="23"/>
    </row>
    <row r="20" spans="1:11" ht="31.5" customHeight="1" x14ac:dyDescent="0.25">
      <c r="A20" s="24" t="s">
        <v>156</v>
      </c>
      <c r="B20" s="25" t="s">
        <v>51</v>
      </c>
      <c r="C20" s="25" t="s">
        <v>157</v>
      </c>
      <c r="D20" s="25" t="s">
        <v>129</v>
      </c>
      <c r="E20" s="25" t="s">
        <v>158</v>
      </c>
      <c r="F20" s="25" t="s">
        <v>159</v>
      </c>
      <c r="G20" s="25" t="s">
        <v>160</v>
      </c>
      <c r="H20" s="22" t="s">
        <v>47</v>
      </c>
      <c r="I20" s="22"/>
      <c r="J20" s="22"/>
      <c r="K20" s="23"/>
    </row>
    <row r="21" spans="1:11" ht="31.5" customHeight="1" x14ac:dyDescent="0.25">
      <c r="A21" s="20" t="s">
        <v>161</v>
      </c>
      <c r="B21" s="21" t="s">
        <v>52</v>
      </c>
      <c r="C21" s="21" t="s">
        <v>162</v>
      </c>
      <c r="D21" s="21" t="s">
        <v>163</v>
      </c>
      <c r="E21" s="21" t="s">
        <v>164</v>
      </c>
      <c r="F21" s="21" t="s">
        <v>165</v>
      </c>
      <c r="G21" s="21" t="s">
        <v>166</v>
      </c>
      <c r="H21" s="22" t="s">
        <v>47</v>
      </c>
      <c r="I21" s="22"/>
      <c r="J21" s="22"/>
      <c r="K21" s="23"/>
    </row>
    <row r="22" spans="1:11" ht="31.5" customHeight="1" x14ac:dyDescent="0.25">
      <c r="A22" s="20" t="s">
        <v>167</v>
      </c>
      <c r="B22" s="21" t="s">
        <v>52</v>
      </c>
      <c r="C22" s="21" t="s">
        <v>168</v>
      </c>
      <c r="D22" s="21" t="s">
        <v>163</v>
      </c>
      <c r="E22" s="21" t="s">
        <v>169</v>
      </c>
      <c r="F22" s="21" t="s">
        <v>77</v>
      </c>
      <c r="G22" s="21" t="s">
        <v>170</v>
      </c>
      <c r="H22" s="22" t="s">
        <v>47</v>
      </c>
      <c r="I22" s="22"/>
      <c r="J22" s="22"/>
      <c r="K22" s="23"/>
    </row>
    <row r="23" spans="1:11" ht="45.75" customHeight="1" x14ac:dyDescent="0.25">
      <c r="A23" s="20" t="s">
        <v>171</v>
      </c>
      <c r="B23" s="21" t="s">
        <v>52</v>
      </c>
      <c r="C23" s="21" t="s">
        <v>172</v>
      </c>
      <c r="D23" s="21" t="s">
        <v>163</v>
      </c>
      <c r="E23" s="21" t="s">
        <v>173</v>
      </c>
      <c r="F23" s="21" t="s">
        <v>174</v>
      </c>
      <c r="G23" s="21" t="s">
        <v>175</v>
      </c>
      <c r="H23" s="22" t="s">
        <v>47</v>
      </c>
      <c r="I23" s="22"/>
      <c r="J23" s="22"/>
      <c r="K23" s="23"/>
    </row>
    <row r="24" spans="1:11" ht="31.5" customHeight="1" x14ac:dyDescent="0.25">
      <c r="A24" s="20" t="s">
        <v>176</v>
      </c>
      <c r="B24" s="21" t="s">
        <v>52</v>
      </c>
      <c r="C24" s="21" t="s">
        <v>177</v>
      </c>
      <c r="D24" s="21" t="s">
        <v>163</v>
      </c>
      <c r="E24" s="21" t="s">
        <v>178</v>
      </c>
      <c r="F24" s="21" t="s">
        <v>179</v>
      </c>
      <c r="G24" s="21" t="s">
        <v>180</v>
      </c>
      <c r="H24" s="22" t="s">
        <v>47</v>
      </c>
      <c r="I24" s="22"/>
      <c r="J24" s="22"/>
      <c r="K24" s="23"/>
    </row>
    <row r="25" spans="1:11" ht="31.5" customHeight="1" x14ac:dyDescent="0.25">
      <c r="A25" s="20" t="s">
        <v>181</v>
      </c>
      <c r="B25" s="21" t="s">
        <v>52</v>
      </c>
      <c r="C25" s="21" t="s">
        <v>182</v>
      </c>
      <c r="D25" s="21" t="s">
        <v>163</v>
      </c>
      <c r="E25" s="21" t="s">
        <v>183</v>
      </c>
      <c r="F25" s="21" t="s">
        <v>77</v>
      </c>
      <c r="G25" s="21" t="s">
        <v>184</v>
      </c>
      <c r="H25" s="22" t="s">
        <v>47</v>
      </c>
      <c r="I25" s="22"/>
      <c r="J25" s="22"/>
      <c r="K25" s="23"/>
    </row>
    <row r="26" spans="1:11" ht="31.5" customHeight="1" x14ac:dyDescent="0.25">
      <c r="A26" s="20" t="s">
        <v>185</v>
      </c>
      <c r="B26" s="21" t="s">
        <v>52</v>
      </c>
      <c r="C26" s="21" t="s">
        <v>186</v>
      </c>
      <c r="D26" s="21" t="s">
        <v>163</v>
      </c>
      <c r="E26" s="21" t="s">
        <v>187</v>
      </c>
      <c r="F26" s="21" t="s">
        <v>77</v>
      </c>
      <c r="G26" s="21" t="s">
        <v>188</v>
      </c>
      <c r="H26" s="22" t="s">
        <v>47</v>
      </c>
      <c r="I26" s="22"/>
      <c r="J26" s="22"/>
      <c r="K26" s="23"/>
    </row>
    <row r="27" spans="1:11" ht="31.5" customHeight="1" x14ac:dyDescent="0.25">
      <c r="A27" s="20" t="s">
        <v>189</v>
      </c>
      <c r="B27" s="21" t="s">
        <v>52</v>
      </c>
      <c r="C27" s="21" t="s">
        <v>190</v>
      </c>
      <c r="D27" s="21" t="s">
        <v>163</v>
      </c>
      <c r="E27" s="21" t="s">
        <v>191</v>
      </c>
      <c r="F27" s="21" t="s">
        <v>77</v>
      </c>
      <c r="G27" s="21" t="s">
        <v>192</v>
      </c>
      <c r="H27" s="22" t="s">
        <v>47</v>
      </c>
      <c r="I27" s="22"/>
      <c r="J27" s="22"/>
      <c r="K27" s="23"/>
    </row>
    <row r="28" spans="1:11" ht="31.5" customHeight="1" x14ac:dyDescent="0.25">
      <c r="A28" s="24" t="s">
        <v>193</v>
      </c>
      <c r="B28" s="25" t="s">
        <v>53</v>
      </c>
      <c r="C28" s="25" t="s">
        <v>194</v>
      </c>
      <c r="D28" s="25" t="s">
        <v>163</v>
      </c>
      <c r="E28" s="25" t="s">
        <v>195</v>
      </c>
      <c r="F28" s="25" t="s">
        <v>196</v>
      </c>
      <c r="G28" s="25" t="s">
        <v>197</v>
      </c>
      <c r="H28" s="22" t="s">
        <v>47</v>
      </c>
      <c r="I28" s="22"/>
      <c r="J28" s="22"/>
      <c r="K28" s="23"/>
    </row>
    <row r="29" spans="1:11" ht="31.5" customHeight="1" x14ac:dyDescent="0.25">
      <c r="A29" s="24" t="s">
        <v>198</v>
      </c>
      <c r="B29" s="25" t="s">
        <v>53</v>
      </c>
      <c r="C29" s="25" t="s">
        <v>199</v>
      </c>
      <c r="D29" s="25" t="s">
        <v>163</v>
      </c>
      <c r="E29" s="25" t="s">
        <v>200</v>
      </c>
      <c r="F29" s="25" t="s">
        <v>201</v>
      </c>
      <c r="G29" s="25" t="s">
        <v>202</v>
      </c>
      <c r="H29" s="22" t="s">
        <v>47</v>
      </c>
      <c r="I29" s="22"/>
      <c r="J29" s="22"/>
      <c r="K29" s="23"/>
    </row>
    <row r="30" spans="1:11" ht="31.5" customHeight="1" x14ac:dyDescent="0.25">
      <c r="A30" s="24" t="s">
        <v>203</v>
      </c>
      <c r="B30" s="25" t="s">
        <v>53</v>
      </c>
      <c r="C30" s="25" t="s">
        <v>204</v>
      </c>
      <c r="D30" s="25" t="s">
        <v>163</v>
      </c>
      <c r="E30" s="25" t="s">
        <v>205</v>
      </c>
      <c r="F30" s="25" t="s">
        <v>206</v>
      </c>
      <c r="G30" s="25" t="s">
        <v>207</v>
      </c>
      <c r="H30" s="22" t="s">
        <v>47</v>
      </c>
      <c r="I30" s="22"/>
      <c r="J30" s="22"/>
      <c r="K30" s="23"/>
    </row>
    <row r="31" spans="1:11" ht="45.75" customHeight="1" x14ac:dyDescent="0.25">
      <c r="A31" s="24" t="s">
        <v>208</v>
      </c>
      <c r="B31" s="25" t="s">
        <v>53</v>
      </c>
      <c r="C31" s="25" t="s">
        <v>209</v>
      </c>
      <c r="D31" s="25" t="s">
        <v>163</v>
      </c>
      <c r="E31" s="25" t="s">
        <v>210</v>
      </c>
      <c r="F31" s="25" t="s">
        <v>211</v>
      </c>
      <c r="G31" s="25" t="s">
        <v>212</v>
      </c>
      <c r="H31" s="22" t="s">
        <v>47</v>
      </c>
      <c r="I31" s="22"/>
      <c r="J31" s="22"/>
      <c r="K31" s="23"/>
    </row>
    <row r="32" spans="1:11" ht="31.5" customHeight="1" x14ac:dyDescent="0.25">
      <c r="A32" s="24" t="s">
        <v>213</v>
      </c>
      <c r="B32" s="25" t="s">
        <v>53</v>
      </c>
      <c r="C32" s="25" t="s">
        <v>214</v>
      </c>
      <c r="D32" s="25" t="s">
        <v>163</v>
      </c>
      <c r="E32" s="25" t="s">
        <v>215</v>
      </c>
      <c r="F32" s="25" t="s">
        <v>77</v>
      </c>
      <c r="G32" s="25" t="s">
        <v>216</v>
      </c>
      <c r="H32" s="22" t="s">
        <v>47</v>
      </c>
      <c r="I32" s="22"/>
      <c r="J32" s="22"/>
      <c r="K32" s="23"/>
    </row>
    <row r="33" spans="1:11" ht="31.5" customHeight="1" x14ac:dyDescent="0.25">
      <c r="A33" s="24" t="s">
        <v>217</v>
      </c>
      <c r="B33" s="25" t="s">
        <v>53</v>
      </c>
      <c r="C33" s="25" t="s">
        <v>218</v>
      </c>
      <c r="D33" s="25" t="s">
        <v>163</v>
      </c>
      <c r="E33" s="25" t="s">
        <v>219</v>
      </c>
      <c r="F33" s="25" t="s">
        <v>220</v>
      </c>
      <c r="G33" s="25" t="s">
        <v>221</v>
      </c>
      <c r="H33" s="22" t="s">
        <v>47</v>
      </c>
      <c r="I33" s="22"/>
      <c r="J33" s="22"/>
      <c r="K33" s="23"/>
    </row>
    <row r="34" spans="1:11" ht="31.5" customHeight="1" x14ac:dyDescent="0.25">
      <c r="A34" s="24" t="s">
        <v>222</v>
      </c>
      <c r="B34" s="25" t="s">
        <v>53</v>
      </c>
      <c r="C34" s="25" t="s">
        <v>223</v>
      </c>
      <c r="D34" s="25" t="s">
        <v>163</v>
      </c>
      <c r="E34" s="25" t="s">
        <v>224</v>
      </c>
      <c r="F34" s="25" t="s">
        <v>77</v>
      </c>
      <c r="G34" s="25" t="s">
        <v>225</v>
      </c>
      <c r="H34" s="22" t="s">
        <v>47</v>
      </c>
      <c r="I34" s="22"/>
      <c r="J34" s="22"/>
      <c r="K34" s="23"/>
    </row>
    <row r="35" spans="1:11" ht="31.5" customHeight="1" x14ac:dyDescent="0.25">
      <c r="A35" s="24" t="s">
        <v>226</v>
      </c>
      <c r="B35" s="25" t="s">
        <v>53</v>
      </c>
      <c r="C35" s="25" t="s">
        <v>227</v>
      </c>
      <c r="D35" s="25" t="s">
        <v>163</v>
      </c>
      <c r="E35" s="25" t="s">
        <v>228</v>
      </c>
      <c r="F35" s="25" t="s">
        <v>229</v>
      </c>
      <c r="G35" s="25" t="s">
        <v>230</v>
      </c>
      <c r="H35" s="22" t="s">
        <v>47</v>
      </c>
      <c r="I35" s="22"/>
      <c r="J35" s="22"/>
      <c r="K35" s="23"/>
    </row>
    <row r="36" spans="1:11" ht="31.5" customHeight="1" x14ac:dyDescent="0.25">
      <c r="A36" s="24" t="s">
        <v>231</v>
      </c>
      <c r="B36" s="25" t="s">
        <v>53</v>
      </c>
      <c r="C36" s="25" t="s">
        <v>232</v>
      </c>
      <c r="D36" s="25" t="s">
        <v>163</v>
      </c>
      <c r="E36" s="25" t="s">
        <v>233</v>
      </c>
      <c r="F36" s="25" t="s">
        <v>220</v>
      </c>
      <c r="G36" s="25" t="s">
        <v>234</v>
      </c>
      <c r="H36" s="22" t="s">
        <v>47</v>
      </c>
      <c r="I36" s="22"/>
      <c r="J36" s="22"/>
      <c r="K36" s="23"/>
    </row>
    <row r="37" spans="1:11" ht="31.5" customHeight="1" x14ac:dyDescent="0.25">
      <c r="A37" s="20" t="s">
        <v>235</v>
      </c>
      <c r="B37" s="21" t="s">
        <v>54</v>
      </c>
      <c r="C37" s="21" t="s">
        <v>236</v>
      </c>
      <c r="D37" s="21" t="s">
        <v>163</v>
      </c>
      <c r="E37" s="21" t="s">
        <v>237</v>
      </c>
      <c r="F37" s="21" t="s">
        <v>238</v>
      </c>
      <c r="G37" s="21" t="s">
        <v>239</v>
      </c>
      <c r="H37" s="22" t="s">
        <v>47</v>
      </c>
      <c r="I37" s="22"/>
      <c r="J37" s="22"/>
      <c r="K37" s="23"/>
    </row>
    <row r="38" spans="1:11" ht="31.5" customHeight="1" x14ac:dyDescent="0.25">
      <c r="A38" s="20" t="s">
        <v>240</v>
      </c>
      <c r="B38" s="21" t="s">
        <v>54</v>
      </c>
      <c r="C38" s="21" t="s">
        <v>241</v>
      </c>
      <c r="D38" s="21" t="s">
        <v>163</v>
      </c>
      <c r="E38" s="21" t="s">
        <v>242</v>
      </c>
      <c r="F38" s="21" t="s">
        <v>243</v>
      </c>
      <c r="G38" s="21" t="s">
        <v>244</v>
      </c>
      <c r="H38" s="22" t="s">
        <v>47</v>
      </c>
      <c r="I38" s="22"/>
      <c r="J38" s="22"/>
      <c r="K38" s="23"/>
    </row>
    <row r="39" spans="1:11" ht="31.5" customHeight="1" x14ac:dyDescent="0.25">
      <c r="A39" s="20" t="s">
        <v>245</v>
      </c>
      <c r="B39" s="21" t="s">
        <v>54</v>
      </c>
      <c r="C39" s="21" t="s">
        <v>246</v>
      </c>
      <c r="D39" s="21" t="s">
        <v>163</v>
      </c>
      <c r="E39" s="21" t="s">
        <v>247</v>
      </c>
      <c r="F39" s="21" t="s">
        <v>248</v>
      </c>
      <c r="G39" s="21" t="s">
        <v>249</v>
      </c>
      <c r="H39" s="22" t="s">
        <v>47</v>
      </c>
      <c r="I39" s="22"/>
      <c r="J39" s="22"/>
      <c r="K39" s="23"/>
    </row>
    <row r="40" spans="1:11" ht="31.5" customHeight="1" x14ac:dyDescent="0.25">
      <c r="A40" s="20" t="s">
        <v>250</v>
      </c>
      <c r="B40" s="21" t="s">
        <v>54</v>
      </c>
      <c r="C40" s="21" t="s">
        <v>251</v>
      </c>
      <c r="D40" s="21" t="s">
        <v>163</v>
      </c>
      <c r="E40" s="21" t="s">
        <v>252</v>
      </c>
      <c r="F40" s="21" t="s">
        <v>253</v>
      </c>
      <c r="G40" s="21" t="s">
        <v>254</v>
      </c>
      <c r="H40" s="22" t="s">
        <v>47</v>
      </c>
      <c r="I40" s="22"/>
      <c r="J40" s="22"/>
      <c r="K40" s="23"/>
    </row>
    <row r="41" spans="1:11" ht="45.75" customHeight="1" x14ac:dyDescent="0.25">
      <c r="A41" s="20" t="s">
        <v>255</v>
      </c>
      <c r="B41" s="21" t="s">
        <v>54</v>
      </c>
      <c r="C41" s="21" t="s">
        <v>256</v>
      </c>
      <c r="D41" s="21" t="s">
        <v>163</v>
      </c>
      <c r="E41" s="21" t="s">
        <v>257</v>
      </c>
      <c r="F41" s="21" t="s">
        <v>77</v>
      </c>
      <c r="G41" s="21" t="s">
        <v>258</v>
      </c>
      <c r="H41" s="22" t="s">
        <v>47</v>
      </c>
      <c r="I41" s="22"/>
      <c r="J41" s="22"/>
      <c r="K41" s="23"/>
    </row>
    <row r="42" spans="1:11" ht="31.5" customHeight="1" x14ac:dyDescent="0.25">
      <c r="A42" s="20" t="s">
        <v>259</v>
      </c>
      <c r="B42" s="21" t="s">
        <v>54</v>
      </c>
      <c r="C42" s="21" t="s">
        <v>260</v>
      </c>
      <c r="D42" s="21" t="s">
        <v>163</v>
      </c>
      <c r="E42" s="21" t="s">
        <v>261</v>
      </c>
      <c r="F42" s="21" t="s">
        <v>77</v>
      </c>
      <c r="G42" s="21" t="s">
        <v>262</v>
      </c>
      <c r="H42" s="22" t="s">
        <v>47</v>
      </c>
      <c r="I42" s="22"/>
      <c r="J42" s="22"/>
      <c r="K42" s="23"/>
    </row>
    <row r="43" spans="1:11" ht="31.5" customHeight="1" x14ac:dyDescent="0.25">
      <c r="A43" s="20" t="s">
        <v>263</v>
      </c>
      <c r="B43" s="21" t="s">
        <v>54</v>
      </c>
      <c r="C43" s="21" t="s">
        <v>264</v>
      </c>
      <c r="D43" s="21" t="s">
        <v>163</v>
      </c>
      <c r="E43" s="21" t="s">
        <v>265</v>
      </c>
      <c r="F43" s="21" t="s">
        <v>266</v>
      </c>
      <c r="G43" s="21" t="s">
        <v>267</v>
      </c>
      <c r="H43" s="22" t="s">
        <v>47</v>
      </c>
      <c r="I43" s="22"/>
      <c r="J43" s="22"/>
      <c r="K43" s="23"/>
    </row>
    <row r="44" spans="1:11" ht="31.5" customHeight="1" x14ac:dyDescent="0.25">
      <c r="A44" s="20" t="s">
        <v>268</v>
      </c>
      <c r="B44" s="21" t="s">
        <v>54</v>
      </c>
      <c r="C44" s="21" t="s">
        <v>269</v>
      </c>
      <c r="D44" s="21" t="s">
        <v>163</v>
      </c>
      <c r="E44" s="21" t="s">
        <v>270</v>
      </c>
      <c r="F44" s="21" t="s">
        <v>77</v>
      </c>
      <c r="G44" s="21" t="s">
        <v>271</v>
      </c>
      <c r="H44" s="22" t="s">
        <v>47</v>
      </c>
      <c r="I44" s="22"/>
      <c r="J44" s="22"/>
      <c r="K44" s="23"/>
    </row>
    <row r="45" spans="1:11" ht="31.5" customHeight="1" x14ac:dyDescent="0.25">
      <c r="A45" s="24" t="s">
        <v>272</v>
      </c>
      <c r="B45" s="25" t="s">
        <v>55</v>
      </c>
      <c r="C45" s="25" t="s">
        <v>273</v>
      </c>
      <c r="D45" s="25" t="s">
        <v>163</v>
      </c>
      <c r="E45" s="25" t="s">
        <v>274</v>
      </c>
      <c r="F45" s="25" t="s">
        <v>275</v>
      </c>
      <c r="G45" s="25" t="s">
        <v>276</v>
      </c>
      <c r="H45" s="22" t="s">
        <v>47</v>
      </c>
      <c r="I45" s="22"/>
      <c r="J45" s="22"/>
      <c r="K45" s="23"/>
    </row>
    <row r="46" spans="1:11" ht="31.5" customHeight="1" x14ac:dyDescent="0.25">
      <c r="A46" s="24" t="s">
        <v>277</v>
      </c>
      <c r="B46" s="25" t="s">
        <v>55</v>
      </c>
      <c r="C46" s="25" t="s">
        <v>147</v>
      </c>
      <c r="D46" s="25" t="s">
        <v>163</v>
      </c>
      <c r="E46" s="25" t="s">
        <v>278</v>
      </c>
      <c r="F46" s="25" t="s">
        <v>279</v>
      </c>
      <c r="G46" s="25" t="s">
        <v>280</v>
      </c>
      <c r="H46" s="22" t="s">
        <v>47</v>
      </c>
      <c r="I46" s="22"/>
      <c r="J46" s="22"/>
      <c r="K46" s="23"/>
    </row>
    <row r="47" spans="1:11" ht="31.5" customHeight="1" x14ac:dyDescent="0.25">
      <c r="A47" s="24" t="s">
        <v>281</v>
      </c>
      <c r="B47" s="25" t="s">
        <v>55</v>
      </c>
      <c r="C47" s="25" t="s">
        <v>282</v>
      </c>
      <c r="D47" s="25" t="s">
        <v>163</v>
      </c>
      <c r="E47" s="25" t="s">
        <v>283</v>
      </c>
      <c r="F47" s="25" t="s">
        <v>284</v>
      </c>
      <c r="G47" s="25" t="s">
        <v>285</v>
      </c>
      <c r="H47" s="22" t="s">
        <v>47</v>
      </c>
      <c r="I47" s="22"/>
      <c r="J47" s="22"/>
      <c r="K47" s="23"/>
    </row>
    <row r="48" spans="1:11" ht="31.5" customHeight="1" x14ac:dyDescent="0.25">
      <c r="A48" s="24" t="s">
        <v>286</v>
      </c>
      <c r="B48" s="25" t="s">
        <v>55</v>
      </c>
      <c r="C48" s="25" t="s">
        <v>287</v>
      </c>
      <c r="D48" s="25" t="s">
        <v>163</v>
      </c>
      <c r="E48" s="25" t="s">
        <v>288</v>
      </c>
      <c r="F48" s="25" t="s">
        <v>289</v>
      </c>
      <c r="G48" s="25" t="s">
        <v>290</v>
      </c>
      <c r="H48" s="22" t="s">
        <v>47</v>
      </c>
      <c r="I48" s="22"/>
      <c r="J48" s="22"/>
      <c r="K48" s="23"/>
    </row>
    <row r="49" spans="1:11" ht="31.5" customHeight="1" x14ac:dyDescent="0.25">
      <c r="A49" s="24" t="s">
        <v>291</v>
      </c>
      <c r="B49" s="25" t="s">
        <v>55</v>
      </c>
      <c r="C49" s="25" t="s">
        <v>292</v>
      </c>
      <c r="D49" s="25" t="s">
        <v>163</v>
      </c>
      <c r="E49" s="25" t="s">
        <v>293</v>
      </c>
      <c r="F49" s="25" t="s">
        <v>294</v>
      </c>
      <c r="G49" s="25" t="s">
        <v>295</v>
      </c>
      <c r="H49" s="22" t="s">
        <v>47</v>
      </c>
      <c r="I49" s="22"/>
      <c r="J49" s="22"/>
      <c r="K49" s="23"/>
    </row>
    <row r="50" spans="1:11" ht="31.5" customHeight="1" x14ac:dyDescent="0.25">
      <c r="A50" s="24" t="s">
        <v>296</v>
      </c>
      <c r="B50" s="25" t="s">
        <v>55</v>
      </c>
      <c r="C50" s="25" t="s">
        <v>297</v>
      </c>
      <c r="D50" s="25" t="s">
        <v>163</v>
      </c>
      <c r="E50" s="25" t="s">
        <v>298</v>
      </c>
      <c r="F50" s="25" t="s">
        <v>299</v>
      </c>
      <c r="G50" s="25" t="s">
        <v>300</v>
      </c>
      <c r="H50" s="22" t="s">
        <v>47</v>
      </c>
      <c r="I50" s="22"/>
      <c r="J50" s="22"/>
      <c r="K50" s="23"/>
    </row>
    <row r="51" spans="1:11" ht="31.5" customHeight="1" x14ac:dyDescent="0.25">
      <c r="A51" s="24" t="s">
        <v>301</v>
      </c>
      <c r="B51" s="25" t="s">
        <v>55</v>
      </c>
      <c r="C51" s="25" t="s">
        <v>302</v>
      </c>
      <c r="D51" s="25" t="s">
        <v>163</v>
      </c>
      <c r="E51" s="25" t="s">
        <v>303</v>
      </c>
      <c r="F51" s="25" t="s">
        <v>77</v>
      </c>
      <c r="G51" s="25" t="s">
        <v>304</v>
      </c>
      <c r="H51" s="22" t="s">
        <v>47</v>
      </c>
      <c r="I51" s="22"/>
      <c r="J51" s="22"/>
      <c r="K51" s="23"/>
    </row>
    <row r="52" spans="1:11" ht="31.5" customHeight="1" x14ac:dyDescent="0.25">
      <c r="A52" s="24" t="s">
        <v>305</v>
      </c>
      <c r="B52" s="25" t="s">
        <v>55</v>
      </c>
      <c r="C52" s="25" t="s">
        <v>306</v>
      </c>
      <c r="D52" s="25" t="s">
        <v>163</v>
      </c>
      <c r="E52" s="25" t="s">
        <v>307</v>
      </c>
      <c r="F52" s="25" t="s">
        <v>77</v>
      </c>
      <c r="G52" s="25" t="s">
        <v>308</v>
      </c>
      <c r="H52" s="22" t="s">
        <v>47</v>
      </c>
      <c r="I52" s="22"/>
      <c r="J52" s="22"/>
      <c r="K52" s="23"/>
    </row>
    <row r="53" spans="1:11" ht="31.5" customHeight="1" x14ac:dyDescent="0.25">
      <c r="A53" s="24" t="s">
        <v>309</v>
      </c>
      <c r="B53" s="25" t="s">
        <v>55</v>
      </c>
      <c r="C53" s="25" t="s">
        <v>310</v>
      </c>
      <c r="D53" s="25" t="s">
        <v>163</v>
      </c>
      <c r="E53" s="25" t="s">
        <v>311</v>
      </c>
      <c r="F53" s="25" t="s">
        <v>77</v>
      </c>
      <c r="G53" s="25" t="s">
        <v>312</v>
      </c>
      <c r="H53" s="22" t="s">
        <v>47</v>
      </c>
      <c r="I53" s="22"/>
      <c r="J53" s="22"/>
      <c r="K53" s="23"/>
    </row>
    <row r="54" spans="1:11" ht="31.5" customHeight="1" x14ac:dyDescent="0.25">
      <c r="A54" s="20" t="s">
        <v>313</v>
      </c>
      <c r="B54" s="21" t="s">
        <v>56</v>
      </c>
      <c r="C54" s="21" t="s">
        <v>314</v>
      </c>
      <c r="D54" s="21" t="s">
        <v>163</v>
      </c>
      <c r="E54" s="21" t="s">
        <v>315</v>
      </c>
      <c r="F54" s="21" t="s">
        <v>77</v>
      </c>
      <c r="G54" s="21" t="s">
        <v>316</v>
      </c>
      <c r="H54" s="22" t="s">
        <v>47</v>
      </c>
      <c r="I54" s="22"/>
      <c r="J54" s="22"/>
      <c r="K54" s="23"/>
    </row>
    <row r="55" spans="1:11" ht="31.5" customHeight="1" x14ac:dyDescent="0.25">
      <c r="A55" s="20" t="s">
        <v>317</v>
      </c>
      <c r="B55" s="21" t="s">
        <v>56</v>
      </c>
      <c r="C55" s="21" t="s">
        <v>318</v>
      </c>
      <c r="D55" s="21" t="s">
        <v>163</v>
      </c>
      <c r="E55" s="21" t="s">
        <v>319</v>
      </c>
      <c r="F55" s="21" t="s">
        <v>77</v>
      </c>
      <c r="G55" s="21" t="s">
        <v>320</v>
      </c>
      <c r="H55" s="22" t="s">
        <v>47</v>
      </c>
      <c r="I55" s="22"/>
      <c r="J55" s="22"/>
      <c r="K55" s="23"/>
    </row>
    <row r="56" spans="1:11" ht="31.5" customHeight="1" x14ac:dyDescent="0.25">
      <c r="A56" s="20" t="s">
        <v>321</v>
      </c>
      <c r="B56" s="21" t="s">
        <v>56</v>
      </c>
      <c r="C56" s="21" t="s">
        <v>322</v>
      </c>
      <c r="D56" s="21" t="s">
        <v>163</v>
      </c>
      <c r="E56" s="21" t="s">
        <v>323</v>
      </c>
      <c r="F56" s="21" t="s">
        <v>77</v>
      </c>
      <c r="G56" s="21" t="s">
        <v>324</v>
      </c>
      <c r="H56" s="22" t="s">
        <v>47</v>
      </c>
      <c r="I56" s="22"/>
      <c r="J56" s="22"/>
      <c r="K56" s="23"/>
    </row>
    <row r="57" spans="1:11" ht="31.5" customHeight="1" x14ac:dyDescent="0.25">
      <c r="A57" s="20" t="s">
        <v>325</v>
      </c>
      <c r="B57" s="21" t="s">
        <v>56</v>
      </c>
      <c r="C57" s="21" t="s">
        <v>326</v>
      </c>
      <c r="D57" s="21" t="s">
        <v>163</v>
      </c>
      <c r="E57" s="21" t="s">
        <v>327</v>
      </c>
      <c r="F57" s="21" t="s">
        <v>77</v>
      </c>
      <c r="G57" s="21" t="s">
        <v>328</v>
      </c>
      <c r="H57" s="22" t="s">
        <v>47</v>
      </c>
      <c r="I57" s="22"/>
      <c r="J57" s="22"/>
      <c r="K57" s="23"/>
    </row>
    <row r="58" spans="1:11" ht="31.5" customHeight="1" x14ac:dyDescent="0.25">
      <c r="A58" s="20" t="s">
        <v>329</v>
      </c>
      <c r="B58" s="21" t="s">
        <v>56</v>
      </c>
      <c r="C58" s="21" t="s">
        <v>330</v>
      </c>
      <c r="D58" s="21" t="s">
        <v>163</v>
      </c>
      <c r="E58" s="21" t="s">
        <v>331</v>
      </c>
      <c r="F58" s="21" t="s">
        <v>77</v>
      </c>
      <c r="G58" s="21" t="s">
        <v>332</v>
      </c>
      <c r="H58" s="22" t="s">
        <v>47</v>
      </c>
      <c r="I58" s="22"/>
      <c r="J58" s="22"/>
      <c r="K58" s="23"/>
    </row>
    <row r="59" spans="1:11" ht="45.75" customHeight="1" x14ac:dyDescent="0.25">
      <c r="A59" s="20" t="s">
        <v>333</v>
      </c>
      <c r="B59" s="21" t="s">
        <v>56</v>
      </c>
      <c r="C59" s="21" t="s">
        <v>334</v>
      </c>
      <c r="D59" s="21" t="s">
        <v>335</v>
      </c>
      <c r="E59" s="21" t="s">
        <v>336</v>
      </c>
      <c r="F59" s="21" t="s">
        <v>337</v>
      </c>
      <c r="G59" s="21" t="s">
        <v>338</v>
      </c>
      <c r="H59" s="22" t="s">
        <v>47</v>
      </c>
      <c r="I59" s="22"/>
      <c r="J59" s="22"/>
      <c r="K59" s="23"/>
    </row>
    <row r="60" spans="1:11" ht="31.5" customHeight="1" x14ac:dyDescent="0.25">
      <c r="A60" s="20" t="s">
        <v>339</v>
      </c>
      <c r="B60" s="21" t="s">
        <v>56</v>
      </c>
      <c r="C60" s="21" t="s">
        <v>340</v>
      </c>
      <c r="D60" s="21" t="s">
        <v>341</v>
      </c>
      <c r="E60" s="21" t="s">
        <v>342</v>
      </c>
      <c r="F60" s="21" t="s">
        <v>343</v>
      </c>
      <c r="G60" s="21" t="s">
        <v>344</v>
      </c>
      <c r="H60" s="22" t="s">
        <v>47</v>
      </c>
      <c r="I60" s="22"/>
      <c r="J60" s="22"/>
      <c r="K60" s="23"/>
    </row>
    <row r="61" spans="1:11" ht="31.5" customHeight="1" x14ac:dyDescent="0.25">
      <c r="A61" s="20" t="s">
        <v>345</v>
      </c>
      <c r="B61" s="21" t="s">
        <v>56</v>
      </c>
      <c r="C61" s="21" t="s">
        <v>346</v>
      </c>
      <c r="D61" s="21" t="s">
        <v>75</v>
      </c>
      <c r="E61" s="21" t="s">
        <v>347</v>
      </c>
      <c r="F61" s="21" t="s">
        <v>77</v>
      </c>
      <c r="G61" s="21" t="s">
        <v>348</v>
      </c>
      <c r="H61" s="22" t="s">
        <v>47</v>
      </c>
      <c r="I61" s="22"/>
      <c r="J61" s="22"/>
      <c r="K61" s="23"/>
    </row>
    <row r="62" spans="1:11" ht="31.5" customHeight="1" x14ac:dyDescent="0.25">
      <c r="A62" s="24" t="s">
        <v>349</v>
      </c>
      <c r="B62" s="25" t="s">
        <v>57</v>
      </c>
      <c r="C62" s="25" t="s">
        <v>350</v>
      </c>
      <c r="D62" s="25" t="s">
        <v>75</v>
      </c>
      <c r="E62" s="25" t="s">
        <v>351</v>
      </c>
      <c r="F62" s="25" t="s">
        <v>352</v>
      </c>
      <c r="G62" s="25" t="s">
        <v>353</v>
      </c>
      <c r="H62" s="22" t="s">
        <v>47</v>
      </c>
      <c r="I62" s="22"/>
      <c r="J62" s="22"/>
      <c r="K62" s="23"/>
    </row>
    <row r="63" spans="1:11" ht="31.5" customHeight="1" x14ac:dyDescent="0.25">
      <c r="A63" s="24" t="s">
        <v>354</v>
      </c>
      <c r="B63" s="25" t="s">
        <v>57</v>
      </c>
      <c r="C63" s="25" t="s">
        <v>355</v>
      </c>
      <c r="D63" s="25" t="s">
        <v>75</v>
      </c>
      <c r="E63" s="25" t="s">
        <v>356</v>
      </c>
      <c r="F63" s="25" t="s">
        <v>77</v>
      </c>
      <c r="G63" s="25" t="s">
        <v>357</v>
      </c>
      <c r="H63" s="22" t="s">
        <v>47</v>
      </c>
      <c r="I63" s="22"/>
      <c r="J63" s="22"/>
      <c r="K63" s="23"/>
    </row>
    <row r="64" spans="1:11" ht="31.5" customHeight="1" x14ac:dyDescent="0.25">
      <c r="A64" s="24" t="s">
        <v>358</v>
      </c>
      <c r="B64" s="25" t="s">
        <v>57</v>
      </c>
      <c r="C64" s="25" t="s">
        <v>359</v>
      </c>
      <c r="D64" s="25" t="s">
        <v>75</v>
      </c>
      <c r="E64" s="25" t="s">
        <v>360</v>
      </c>
      <c r="F64" s="25" t="s">
        <v>77</v>
      </c>
      <c r="G64" s="25" t="s">
        <v>361</v>
      </c>
      <c r="H64" s="22" t="s">
        <v>47</v>
      </c>
      <c r="I64" s="22"/>
      <c r="J64" s="22"/>
      <c r="K64" s="23"/>
    </row>
    <row r="65" spans="1:11" ht="31.5" customHeight="1" x14ac:dyDescent="0.25">
      <c r="A65" s="24" t="s">
        <v>362</v>
      </c>
      <c r="B65" s="25" t="s">
        <v>57</v>
      </c>
      <c r="C65" s="25" t="s">
        <v>363</v>
      </c>
      <c r="D65" s="25" t="s">
        <v>129</v>
      </c>
      <c r="E65" s="25" t="s">
        <v>364</v>
      </c>
      <c r="F65" s="25" t="s">
        <v>77</v>
      </c>
      <c r="G65" s="25" t="s">
        <v>365</v>
      </c>
      <c r="H65" s="22" t="s">
        <v>47</v>
      </c>
      <c r="I65" s="22"/>
      <c r="J65" s="22"/>
      <c r="K65" s="23"/>
    </row>
    <row r="66" spans="1:11" ht="31.5" customHeight="1" x14ac:dyDescent="0.25">
      <c r="A66" s="24" t="s">
        <v>366</v>
      </c>
      <c r="B66" s="25" t="s">
        <v>57</v>
      </c>
      <c r="C66" s="25" t="s">
        <v>367</v>
      </c>
      <c r="D66" s="25" t="s">
        <v>103</v>
      </c>
      <c r="E66" s="25" t="s">
        <v>368</v>
      </c>
      <c r="F66" s="25" t="s">
        <v>369</v>
      </c>
      <c r="G66" s="25" t="s">
        <v>370</v>
      </c>
      <c r="H66" s="22" t="s">
        <v>47</v>
      </c>
      <c r="I66" s="22"/>
      <c r="J66" s="22"/>
      <c r="K66" s="23"/>
    </row>
    <row r="67" spans="1:11" ht="31.5" customHeight="1" x14ac:dyDescent="0.25">
      <c r="A67" s="24" t="s">
        <v>371</v>
      </c>
      <c r="B67" s="25" t="s">
        <v>57</v>
      </c>
      <c r="C67" s="25" t="s">
        <v>372</v>
      </c>
      <c r="D67" s="25" t="s">
        <v>103</v>
      </c>
      <c r="E67" s="25" t="s">
        <v>373</v>
      </c>
      <c r="F67" s="25" t="s">
        <v>77</v>
      </c>
      <c r="G67" s="25" t="s">
        <v>374</v>
      </c>
      <c r="H67" s="22" t="s">
        <v>47</v>
      </c>
      <c r="I67" s="22"/>
      <c r="J67" s="22"/>
      <c r="K67" s="23"/>
    </row>
    <row r="68" spans="1:11" ht="31.5" customHeight="1" x14ac:dyDescent="0.25">
      <c r="A68" s="24" t="s">
        <v>375</v>
      </c>
      <c r="B68" s="25" t="s">
        <v>57</v>
      </c>
      <c r="C68" s="25" t="s">
        <v>376</v>
      </c>
      <c r="D68" s="25" t="s">
        <v>163</v>
      </c>
      <c r="E68" s="25" t="s">
        <v>377</v>
      </c>
      <c r="F68" s="25" t="s">
        <v>30</v>
      </c>
      <c r="G68" s="25" t="s">
        <v>378</v>
      </c>
      <c r="H68" s="22" t="s">
        <v>47</v>
      </c>
      <c r="I68" s="22"/>
      <c r="J68" s="22"/>
      <c r="K68" s="23"/>
    </row>
    <row r="69" spans="1:11" ht="31.5" customHeight="1" x14ac:dyDescent="0.25">
      <c r="A69" s="24" t="s">
        <v>379</v>
      </c>
      <c r="B69" s="25" t="s">
        <v>57</v>
      </c>
      <c r="C69" s="25" t="s">
        <v>380</v>
      </c>
      <c r="D69" s="25" t="s">
        <v>381</v>
      </c>
      <c r="E69" s="25" t="s">
        <v>382</v>
      </c>
      <c r="F69" s="25" t="s">
        <v>77</v>
      </c>
      <c r="G69" s="25" t="s">
        <v>383</v>
      </c>
      <c r="H69" s="22" t="s">
        <v>47</v>
      </c>
      <c r="I69" s="22"/>
      <c r="J69" s="22"/>
      <c r="K69" s="23"/>
    </row>
    <row r="70" spans="1:11" ht="31.5" customHeight="1" x14ac:dyDescent="0.25">
      <c r="A70" s="24" t="s">
        <v>384</v>
      </c>
      <c r="B70" s="25" t="s">
        <v>57</v>
      </c>
      <c r="C70" s="25" t="s">
        <v>385</v>
      </c>
      <c r="D70" s="25" t="s">
        <v>115</v>
      </c>
      <c r="E70" s="25" t="s">
        <v>386</v>
      </c>
      <c r="F70" s="25" t="s">
        <v>77</v>
      </c>
      <c r="G70" s="25" t="s">
        <v>387</v>
      </c>
      <c r="H70" s="22" t="s">
        <v>47</v>
      </c>
      <c r="I70" s="22"/>
      <c r="J70" s="22"/>
      <c r="K70" s="23"/>
    </row>
    <row r="71" spans="1:11" ht="31.5" customHeight="1" x14ac:dyDescent="0.25">
      <c r="A71" s="24" t="s">
        <v>388</v>
      </c>
      <c r="B71" s="25" t="s">
        <v>57</v>
      </c>
      <c r="C71" s="25" t="s">
        <v>389</v>
      </c>
      <c r="D71" s="25" t="s">
        <v>390</v>
      </c>
      <c r="E71" s="25" t="s">
        <v>391</v>
      </c>
      <c r="F71" s="25" t="s">
        <v>77</v>
      </c>
      <c r="G71" s="25" t="s">
        <v>392</v>
      </c>
      <c r="H71" s="22" t="s">
        <v>47</v>
      </c>
      <c r="I71" s="22"/>
      <c r="J71" s="22"/>
      <c r="K71" s="23"/>
    </row>
    <row r="72" spans="1:11" ht="31.5" customHeight="1" x14ac:dyDescent="0.25">
      <c r="A72" s="24" t="s">
        <v>393</v>
      </c>
      <c r="B72" s="25" t="s">
        <v>57</v>
      </c>
      <c r="C72" s="25" t="s">
        <v>394</v>
      </c>
      <c r="D72" s="25" t="s">
        <v>163</v>
      </c>
      <c r="E72" s="25" t="s">
        <v>395</v>
      </c>
      <c r="F72" s="25" t="s">
        <v>77</v>
      </c>
      <c r="G72" s="25" t="s">
        <v>396</v>
      </c>
      <c r="H72" s="22" t="s">
        <v>47</v>
      </c>
      <c r="I72" s="22"/>
      <c r="J72" s="22"/>
      <c r="K72" s="23"/>
    </row>
    <row r="73" spans="1:11" ht="31.5" customHeight="1" x14ac:dyDescent="0.25">
      <c r="A73" s="24" t="s">
        <v>397</v>
      </c>
      <c r="B73" s="25" t="s">
        <v>57</v>
      </c>
      <c r="C73" s="25" t="s">
        <v>398</v>
      </c>
      <c r="D73" s="25" t="s">
        <v>163</v>
      </c>
      <c r="E73" s="25" t="s">
        <v>399</v>
      </c>
      <c r="F73" s="25" t="s">
        <v>77</v>
      </c>
      <c r="G73" s="25" t="s">
        <v>400</v>
      </c>
      <c r="H73" s="22" t="s">
        <v>47</v>
      </c>
      <c r="I73" s="22"/>
      <c r="J73" s="22"/>
      <c r="K73" s="23"/>
    </row>
    <row r="74" spans="1:11" ht="31.5" customHeight="1" x14ac:dyDescent="0.25">
      <c r="A74" s="24" t="s">
        <v>401</v>
      </c>
      <c r="B74" s="25" t="s">
        <v>57</v>
      </c>
      <c r="C74" s="25" t="s">
        <v>402</v>
      </c>
      <c r="D74" s="25" t="s">
        <v>163</v>
      </c>
      <c r="E74" s="25" t="s">
        <v>403</v>
      </c>
      <c r="F74" s="25" t="s">
        <v>404</v>
      </c>
      <c r="G74" s="25" t="s">
        <v>405</v>
      </c>
      <c r="H74" s="22" t="s">
        <v>47</v>
      </c>
      <c r="I74" s="22"/>
      <c r="J74" s="22"/>
      <c r="K74" s="23"/>
    </row>
    <row r="75" spans="1:11" ht="31.5" customHeight="1" x14ac:dyDescent="0.25">
      <c r="A75" s="24" t="s">
        <v>406</v>
      </c>
      <c r="B75" s="25" t="s">
        <v>57</v>
      </c>
      <c r="C75" s="25" t="s">
        <v>407</v>
      </c>
      <c r="D75" s="25" t="s">
        <v>129</v>
      </c>
      <c r="E75" s="25" t="s">
        <v>408</v>
      </c>
      <c r="F75" s="25" t="s">
        <v>77</v>
      </c>
      <c r="G75" s="25" t="s">
        <v>409</v>
      </c>
      <c r="H75" s="22" t="s">
        <v>47</v>
      </c>
      <c r="I75" s="22"/>
      <c r="J75" s="22"/>
      <c r="K75" s="23"/>
    </row>
    <row r="76" spans="1:11" ht="31.5" customHeight="1" x14ac:dyDescent="0.25">
      <c r="A76" s="24" t="s">
        <v>410</v>
      </c>
      <c r="B76" s="25" t="s">
        <v>57</v>
      </c>
      <c r="C76" s="25" t="s">
        <v>411</v>
      </c>
      <c r="D76" s="25" t="s">
        <v>129</v>
      </c>
      <c r="E76" s="25" t="s">
        <v>412</v>
      </c>
      <c r="F76" s="25" t="s">
        <v>77</v>
      </c>
      <c r="G76" s="25" t="s">
        <v>413</v>
      </c>
      <c r="H76" s="22" t="s">
        <v>47</v>
      </c>
      <c r="I76" s="22"/>
      <c r="J76" s="22"/>
      <c r="K76" s="23"/>
    </row>
    <row r="77" spans="1:11" ht="31.5" customHeight="1" x14ac:dyDescent="0.25">
      <c r="A77" s="24" t="s">
        <v>414</v>
      </c>
      <c r="B77" s="25" t="s">
        <v>57</v>
      </c>
      <c r="C77" s="25" t="s">
        <v>415</v>
      </c>
      <c r="D77" s="25" t="s">
        <v>129</v>
      </c>
      <c r="E77" s="25" t="s">
        <v>416</v>
      </c>
      <c r="F77" s="25" t="s">
        <v>417</v>
      </c>
      <c r="G77" s="25" t="s">
        <v>418</v>
      </c>
      <c r="H77" s="22" t="s">
        <v>47</v>
      </c>
      <c r="I77" s="22"/>
      <c r="J77" s="22"/>
      <c r="K77" s="23"/>
    </row>
    <row r="78" spans="1:11" ht="45.75" customHeight="1" x14ac:dyDescent="0.25">
      <c r="A78" s="20" t="s">
        <v>419</v>
      </c>
      <c r="B78" s="21" t="s">
        <v>58</v>
      </c>
      <c r="C78" s="21" t="s">
        <v>420</v>
      </c>
      <c r="D78" s="21" t="s">
        <v>421</v>
      </c>
      <c r="E78" s="21" t="s">
        <v>422</v>
      </c>
      <c r="F78" s="21" t="s">
        <v>77</v>
      </c>
      <c r="G78" s="21" t="s">
        <v>423</v>
      </c>
      <c r="H78" s="22" t="s">
        <v>47</v>
      </c>
      <c r="I78" s="22"/>
      <c r="J78" s="22"/>
      <c r="K78" s="23"/>
    </row>
    <row r="79" spans="1:11" ht="31.5" customHeight="1" x14ac:dyDescent="0.25">
      <c r="A79" s="20" t="s">
        <v>424</v>
      </c>
      <c r="B79" s="21" t="s">
        <v>58</v>
      </c>
      <c r="C79" s="21" t="s">
        <v>425</v>
      </c>
      <c r="D79" s="21" t="s">
        <v>421</v>
      </c>
      <c r="E79" s="21" t="s">
        <v>426</v>
      </c>
      <c r="F79" s="21" t="s">
        <v>77</v>
      </c>
      <c r="G79" s="21" t="s">
        <v>427</v>
      </c>
      <c r="H79" s="22" t="s">
        <v>47</v>
      </c>
      <c r="I79" s="22"/>
      <c r="J79" s="22"/>
      <c r="K79" s="23"/>
    </row>
    <row r="80" spans="1:11" ht="31.5" customHeight="1" x14ac:dyDescent="0.25">
      <c r="A80" s="20" t="s">
        <v>428</v>
      </c>
      <c r="B80" s="21" t="s">
        <v>58</v>
      </c>
      <c r="C80" s="21" t="s">
        <v>429</v>
      </c>
      <c r="D80" s="21" t="s">
        <v>421</v>
      </c>
      <c r="E80" s="21" t="s">
        <v>430</v>
      </c>
      <c r="F80" s="21" t="s">
        <v>77</v>
      </c>
      <c r="G80" s="21" t="s">
        <v>431</v>
      </c>
      <c r="H80" s="22" t="s">
        <v>47</v>
      </c>
      <c r="I80" s="22"/>
      <c r="J80" s="22"/>
      <c r="K80" s="23"/>
    </row>
    <row r="81" spans="1:11" ht="31.5" customHeight="1" x14ac:dyDescent="0.25">
      <c r="A81" s="20" t="s">
        <v>432</v>
      </c>
      <c r="B81" s="21" t="s">
        <v>58</v>
      </c>
      <c r="C81" s="21" t="s">
        <v>433</v>
      </c>
      <c r="D81" s="21" t="s">
        <v>421</v>
      </c>
      <c r="E81" s="21" t="s">
        <v>434</v>
      </c>
      <c r="F81" s="21" t="s">
        <v>77</v>
      </c>
      <c r="G81" s="21" t="s">
        <v>435</v>
      </c>
      <c r="H81" s="22" t="s">
        <v>47</v>
      </c>
      <c r="I81" s="22"/>
      <c r="J81" s="22"/>
      <c r="K81" s="23"/>
    </row>
    <row r="82" spans="1:11" ht="45.75" customHeight="1" x14ac:dyDescent="0.25">
      <c r="A82" s="20" t="s">
        <v>436</v>
      </c>
      <c r="B82" s="21" t="s">
        <v>58</v>
      </c>
      <c r="C82" s="21" t="s">
        <v>437</v>
      </c>
      <c r="D82" s="21" t="s">
        <v>421</v>
      </c>
      <c r="E82" s="21" t="s">
        <v>438</v>
      </c>
      <c r="F82" s="21" t="s">
        <v>77</v>
      </c>
      <c r="G82" s="21" t="s">
        <v>439</v>
      </c>
      <c r="H82" s="22" t="s">
        <v>47</v>
      </c>
      <c r="I82" s="22"/>
      <c r="J82" s="22"/>
      <c r="K82" s="23"/>
    </row>
    <row r="83" spans="1:11" ht="31.5" customHeight="1" x14ac:dyDescent="0.25">
      <c r="A83" s="20" t="s">
        <v>440</v>
      </c>
      <c r="B83" s="21" t="s">
        <v>58</v>
      </c>
      <c r="C83" s="21" t="s">
        <v>441</v>
      </c>
      <c r="D83" s="21" t="s">
        <v>421</v>
      </c>
      <c r="E83" s="21" t="s">
        <v>442</v>
      </c>
      <c r="F83" s="21" t="s">
        <v>443</v>
      </c>
      <c r="G83" s="21" t="s">
        <v>444</v>
      </c>
      <c r="H83" s="22" t="s">
        <v>47</v>
      </c>
      <c r="I83" s="22"/>
      <c r="J83" s="22"/>
      <c r="K83" s="23"/>
    </row>
    <row r="84" spans="1:11" ht="31.5" customHeight="1" x14ac:dyDescent="0.25">
      <c r="A84" s="20" t="s">
        <v>445</v>
      </c>
      <c r="B84" s="21" t="s">
        <v>58</v>
      </c>
      <c r="C84" s="21" t="s">
        <v>446</v>
      </c>
      <c r="D84" s="21" t="s">
        <v>421</v>
      </c>
      <c r="E84" s="21" t="s">
        <v>447</v>
      </c>
      <c r="F84" s="21" t="s">
        <v>448</v>
      </c>
      <c r="G84" s="21" t="s">
        <v>449</v>
      </c>
      <c r="H84" s="22" t="s">
        <v>47</v>
      </c>
      <c r="I84" s="22"/>
      <c r="J84" s="22"/>
      <c r="K84" s="23"/>
    </row>
    <row r="85" spans="1:11" ht="45.75" customHeight="1" x14ac:dyDescent="0.25">
      <c r="A85" s="20" t="s">
        <v>450</v>
      </c>
      <c r="B85" s="21" t="s">
        <v>58</v>
      </c>
      <c r="C85" s="21" t="s">
        <v>451</v>
      </c>
      <c r="D85" s="21" t="s">
        <v>421</v>
      </c>
      <c r="E85" s="21" t="s">
        <v>452</v>
      </c>
      <c r="F85" s="21" t="s">
        <v>453</v>
      </c>
      <c r="G85" s="21" t="s">
        <v>454</v>
      </c>
      <c r="H85" s="22" t="s">
        <v>47</v>
      </c>
      <c r="I85" s="22"/>
      <c r="J85" s="22"/>
      <c r="K85" s="23"/>
    </row>
    <row r="86" spans="1:11" ht="31.5" customHeight="1" x14ac:dyDescent="0.25">
      <c r="A86" s="20" t="s">
        <v>455</v>
      </c>
      <c r="B86" s="21" t="s">
        <v>58</v>
      </c>
      <c r="C86" s="21" t="s">
        <v>456</v>
      </c>
      <c r="D86" s="21" t="s">
        <v>421</v>
      </c>
      <c r="E86" s="21" t="s">
        <v>457</v>
      </c>
      <c r="F86" s="21" t="s">
        <v>77</v>
      </c>
      <c r="G86" s="21" t="s">
        <v>458</v>
      </c>
      <c r="H86" s="22" t="s">
        <v>47</v>
      </c>
      <c r="I86" s="22"/>
      <c r="J86" s="22"/>
      <c r="K86" s="23"/>
    </row>
    <row r="87" spans="1:11" ht="31.5" customHeight="1" x14ac:dyDescent="0.25">
      <c r="A87" s="20" t="s">
        <v>459</v>
      </c>
      <c r="B87" s="21" t="s">
        <v>58</v>
      </c>
      <c r="C87" s="21" t="s">
        <v>460</v>
      </c>
      <c r="D87" s="21" t="s">
        <v>421</v>
      </c>
      <c r="E87" s="21" t="s">
        <v>461</v>
      </c>
      <c r="F87" s="21" t="s">
        <v>77</v>
      </c>
      <c r="G87" s="21" t="s">
        <v>462</v>
      </c>
      <c r="H87" s="22" t="s">
        <v>47</v>
      </c>
      <c r="I87" s="22"/>
      <c r="J87" s="22"/>
      <c r="K87" s="23"/>
    </row>
    <row r="88" spans="1:11" ht="45.75" customHeight="1" x14ac:dyDescent="0.25">
      <c r="A88" s="20" t="s">
        <v>463</v>
      </c>
      <c r="B88" s="21" t="s">
        <v>58</v>
      </c>
      <c r="C88" s="21" t="s">
        <v>464</v>
      </c>
      <c r="D88" s="21" t="s">
        <v>465</v>
      </c>
      <c r="E88" s="21" t="s">
        <v>466</v>
      </c>
      <c r="F88" s="21" t="s">
        <v>77</v>
      </c>
      <c r="G88" s="21" t="s">
        <v>467</v>
      </c>
      <c r="H88" s="22" t="s">
        <v>47</v>
      </c>
      <c r="I88" s="22"/>
      <c r="J88" s="22"/>
      <c r="K88" s="23"/>
    </row>
    <row r="89" spans="1:11" ht="31.5" customHeight="1" x14ac:dyDescent="0.25">
      <c r="A89" s="20" t="s">
        <v>468</v>
      </c>
      <c r="B89" s="21" t="s">
        <v>58</v>
      </c>
      <c r="C89" s="21" t="s">
        <v>469</v>
      </c>
      <c r="D89" s="21" t="s">
        <v>465</v>
      </c>
      <c r="E89" s="21" t="s">
        <v>470</v>
      </c>
      <c r="F89" s="21" t="s">
        <v>77</v>
      </c>
      <c r="G89" s="21" t="s">
        <v>471</v>
      </c>
      <c r="H89" s="22" t="s">
        <v>47</v>
      </c>
      <c r="I89" s="22"/>
      <c r="J89" s="22"/>
      <c r="K89" s="23"/>
    </row>
    <row r="90" spans="1:11" ht="31.5" customHeight="1" x14ac:dyDescent="0.25">
      <c r="A90" s="20" t="s">
        <v>472</v>
      </c>
      <c r="B90" s="21" t="s">
        <v>58</v>
      </c>
      <c r="C90" s="21" t="s">
        <v>473</v>
      </c>
      <c r="D90" s="21" t="s">
        <v>421</v>
      </c>
      <c r="E90" s="21" t="s">
        <v>474</v>
      </c>
      <c r="F90" s="21" t="s">
        <v>77</v>
      </c>
      <c r="G90" s="21" t="s">
        <v>475</v>
      </c>
      <c r="H90" s="22" t="s">
        <v>47</v>
      </c>
      <c r="I90" s="22"/>
      <c r="J90" s="22"/>
      <c r="K90" s="23"/>
    </row>
    <row r="91" spans="1:11" ht="31.5" customHeight="1" x14ac:dyDescent="0.25">
      <c r="A91" s="20" t="s">
        <v>476</v>
      </c>
      <c r="B91" s="21" t="s">
        <v>58</v>
      </c>
      <c r="C91" s="21" t="s">
        <v>477</v>
      </c>
      <c r="D91" s="21" t="s">
        <v>478</v>
      </c>
      <c r="E91" s="21" t="s">
        <v>479</v>
      </c>
      <c r="F91" s="21" t="s">
        <v>77</v>
      </c>
      <c r="G91" s="21" t="s">
        <v>480</v>
      </c>
      <c r="H91" s="22" t="s">
        <v>47</v>
      </c>
      <c r="I91" s="22"/>
      <c r="J91" s="22"/>
      <c r="K91" s="23"/>
    </row>
    <row r="92" spans="1:11" ht="31.5" customHeight="1" x14ac:dyDescent="0.25">
      <c r="A92" s="24" t="s">
        <v>481</v>
      </c>
      <c r="B92" s="25" t="s">
        <v>59</v>
      </c>
      <c r="C92" s="25" t="s">
        <v>482</v>
      </c>
      <c r="D92" s="25" t="s">
        <v>483</v>
      </c>
      <c r="E92" s="25" t="s">
        <v>484</v>
      </c>
      <c r="F92" s="25" t="s">
        <v>77</v>
      </c>
      <c r="G92" s="25" t="s">
        <v>485</v>
      </c>
      <c r="H92" s="22" t="s">
        <v>47</v>
      </c>
      <c r="I92" s="22"/>
      <c r="J92" s="22"/>
      <c r="K92" s="23"/>
    </row>
    <row r="93" spans="1:11" ht="60" customHeight="1" x14ac:dyDescent="0.25">
      <c r="A93" s="24" t="s">
        <v>486</v>
      </c>
      <c r="B93" s="25" t="s">
        <v>59</v>
      </c>
      <c r="C93" s="25" t="s">
        <v>487</v>
      </c>
      <c r="D93" s="25" t="s">
        <v>483</v>
      </c>
      <c r="E93" s="25" t="s">
        <v>488</v>
      </c>
      <c r="F93" s="25" t="s">
        <v>77</v>
      </c>
      <c r="G93" s="25" t="s">
        <v>489</v>
      </c>
      <c r="H93" s="22" t="s">
        <v>47</v>
      </c>
      <c r="I93" s="22"/>
      <c r="J93" s="22"/>
      <c r="K93" s="23"/>
    </row>
    <row r="94" spans="1:11" ht="31.5" customHeight="1" x14ac:dyDescent="0.25">
      <c r="A94" s="24" t="s">
        <v>490</v>
      </c>
      <c r="B94" s="25" t="s">
        <v>59</v>
      </c>
      <c r="C94" s="25" t="s">
        <v>491</v>
      </c>
      <c r="D94" s="25" t="s">
        <v>483</v>
      </c>
      <c r="E94" s="25" t="s">
        <v>492</v>
      </c>
      <c r="F94" s="25" t="s">
        <v>493</v>
      </c>
      <c r="G94" s="25" t="s">
        <v>494</v>
      </c>
      <c r="H94" s="22" t="s">
        <v>47</v>
      </c>
      <c r="I94" s="22"/>
      <c r="J94" s="22"/>
      <c r="K94" s="23"/>
    </row>
    <row r="95" spans="1:11" ht="31.5" customHeight="1" x14ac:dyDescent="0.25">
      <c r="A95" s="24" t="s">
        <v>495</v>
      </c>
      <c r="B95" s="25" t="s">
        <v>59</v>
      </c>
      <c r="C95" s="25" t="s">
        <v>496</v>
      </c>
      <c r="D95" s="25" t="s">
        <v>483</v>
      </c>
      <c r="E95" s="25" t="s">
        <v>497</v>
      </c>
      <c r="F95" s="25" t="s">
        <v>498</v>
      </c>
      <c r="G95" s="25" t="s">
        <v>499</v>
      </c>
      <c r="H95" s="22" t="s">
        <v>47</v>
      </c>
      <c r="I95" s="22"/>
      <c r="J95" s="22"/>
      <c r="K95" s="23"/>
    </row>
    <row r="96" spans="1:11" ht="31.5" customHeight="1" x14ac:dyDescent="0.25">
      <c r="A96" s="24" t="s">
        <v>500</v>
      </c>
      <c r="B96" s="25" t="s">
        <v>59</v>
      </c>
      <c r="C96" s="25" t="s">
        <v>501</v>
      </c>
      <c r="D96" s="25" t="s">
        <v>483</v>
      </c>
      <c r="E96" s="25" t="s">
        <v>502</v>
      </c>
      <c r="F96" s="25" t="s">
        <v>77</v>
      </c>
      <c r="G96" s="25" t="s">
        <v>503</v>
      </c>
      <c r="H96" s="22" t="s">
        <v>47</v>
      </c>
      <c r="I96" s="22"/>
      <c r="J96" s="22"/>
      <c r="K96" s="23"/>
    </row>
    <row r="97" spans="1:11" ht="31.5" customHeight="1" x14ac:dyDescent="0.25">
      <c r="A97" s="24" t="s">
        <v>504</v>
      </c>
      <c r="B97" s="25" t="s">
        <v>59</v>
      </c>
      <c r="C97" s="25" t="s">
        <v>505</v>
      </c>
      <c r="D97" s="25" t="s">
        <v>483</v>
      </c>
      <c r="E97" s="25" t="s">
        <v>506</v>
      </c>
      <c r="F97" s="25" t="s">
        <v>507</v>
      </c>
      <c r="G97" s="25" t="s">
        <v>508</v>
      </c>
      <c r="H97" s="22" t="s">
        <v>47</v>
      </c>
      <c r="I97" s="22"/>
      <c r="J97" s="22"/>
      <c r="K97" s="23"/>
    </row>
    <row r="98" spans="1:11" ht="45.75" customHeight="1" x14ac:dyDescent="0.25">
      <c r="A98" s="24" t="s">
        <v>509</v>
      </c>
      <c r="B98" s="25" t="s">
        <v>59</v>
      </c>
      <c r="C98" s="25" t="s">
        <v>510</v>
      </c>
      <c r="D98" s="25" t="s">
        <v>483</v>
      </c>
      <c r="E98" s="25" t="s">
        <v>511</v>
      </c>
      <c r="F98" s="25" t="s">
        <v>77</v>
      </c>
      <c r="G98" s="25" t="s">
        <v>512</v>
      </c>
      <c r="H98" s="22" t="s">
        <v>47</v>
      </c>
      <c r="I98" s="22"/>
      <c r="J98" s="22"/>
      <c r="K98" s="23"/>
    </row>
    <row r="99" spans="1:11" ht="45.75" customHeight="1" x14ac:dyDescent="0.25">
      <c r="A99" s="24" t="s">
        <v>513</v>
      </c>
      <c r="B99" s="25" t="s">
        <v>59</v>
      </c>
      <c r="C99" s="25" t="s">
        <v>514</v>
      </c>
      <c r="D99" s="25" t="s">
        <v>483</v>
      </c>
      <c r="E99" s="25" t="s">
        <v>515</v>
      </c>
      <c r="F99" s="25" t="s">
        <v>516</v>
      </c>
      <c r="G99" s="25" t="s">
        <v>517</v>
      </c>
      <c r="H99" s="22" t="s">
        <v>47</v>
      </c>
      <c r="I99" s="22"/>
      <c r="J99" s="22"/>
      <c r="K99" s="23"/>
    </row>
    <row r="100" spans="1:11" ht="45.75" customHeight="1" x14ac:dyDescent="0.25">
      <c r="A100" s="24" t="s">
        <v>518</v>
      </c>
      <c r="B100" s="25" t="s">
        <v>59</v>
      </c>
      <c r="C100" s="25" t="s">
        <v>519</v>
      </c>
      <c r="D100" s="25" t="s">
        <v>163</v>
      </c>
      <c r="E100" s="25" t="s">
        <v>520</v>
      </c>
      <c r="F100" s="25" t="s">
        <v>77</v>
      </c>
      <c r="G100" s="25" t="s">
        <v>521</v>
      </c>
      <c r="H100" s="22" t="s">
        <v>47</v>
      </c>
      <c r="I100" s="22"/>
      <c r="J100" s="22"/>
      <c r="K100" s="23"/>
    </row>
    <row r="101" spans="1:11" ht="31.5" customHeight="1" x14ac:dyDescent="0.25">
      <c r="A101" s="24" t="s">
        <v>522</v>
      </c>
      <c r="B101" s="25" t="s">
        <v>59</v>
      </c>
      <c r="C101" s="25" t="s">
        <v>523</v>
      </c>
      <c r="D101" s="25" t="s">
        <v>421</v>
      </c>
      <c r="E101" s="25" t="s">
        <v>524</v>
      </c>
      <c r="F101" s="25" t="s">
        <v>77</v>
      </c>
      <c r="G101" s="25" t="s">
        <v>525</v>
      </c>
      <c r="H101" s="22" t="s">
        <v>47</v>
      </c>
      <c r="I101" s="22"/>
      <c r="J101" s="22"/>
      <c r="K101" s="23"/>
    </row>
    <row r="102" spans="1:11" ht="31.5" customHeight="1" x14ac:dyDescent="0.25">
      <c r="A102" s="20" t="s">
        <v>526</v>
      </c>
      <c r="B102" s="21" t="s">
        <v>60</v>
      </c>
      <c r="C102" s="21" t="s">
        <v>527</v>
      </c>
      <c r="D102" s="21" t="s">
        <v>483</v>
      </c>
      <c r="E102" s="21" t="s">
        <v>528</v>
      </c>
      <c r="F102" s="21" t="s">
        <v>77</v>
      </c>
      <c r="G102" s="21" t="s">
        <v>529</v>
      </c>
      <c r="H102" s="22" t="s">
        <v>47</v>
      </c>
      <c r="I102" s="22"/>
      <c r="J102" s="22"/>
      <c r="K102" s="23"/>
    </row>
    <row r="103" spans="1:11" ht="31.5" customHeight="1" x14ac:dyDescent="0.25">
      <c r="A103" s="20" t="s">
        <v>530</v>
      </c>
      <c r="B103" s="21" t="s">
        <v>60</v>
      </c>
      <c r="C103" s="21" t="s">
        <v>531</v>
      </c>
      <c r="D103" s="21" t="s">
        <v>483</v>
      </c>
      <c r="E103" s="21" t="s">
        <v>532</v>
      </c>
      <c r="F103" s="21" t="s">
        <v>533</v>
      </c>
      <c r="G103" s="21" t="s">
        <v>534</v>
      </c>
      <c r="H103" s="22" t="s">
        <v>47</v>
      </c>
      <c r="I103" s="22"/>
      <c r="J103" s="22"/>
      <c r="K103" s="23"/>
    </row>
    <row r="104" spans="1:11" ht="31.5" customHeight="1" x14ac:dyDescent="0.25">
      <c r="A104" s="20" t="s">
        <v>535</v>
      </c>
      <c r="B104" s="21" t="s">
        <v>60</v>
      </c>
      <c r="C104" s="21" t="s">
        <v>536</v>
      </c>
      <c r="D104" s="21" t="s">
        <v>483</v>
      </c>
      <c r="E104" s="21" t="s">
        <v>537</v>
      </c>
      <c r="F104" s="21" t="s">
        <v>77</v>
      </c>
      <c r="G104" s="21" t="s">
        <v>538</v>
      </c>
      <c r="H104" s="22" t="s">
        <v>47</v>
      </c>
      <c r="I104" s="22"/>
      <c r="J104" s="22"/>
      <c r="K104" s="23"/>
    </row>
    <row r="105" spans="1:11" ht="31.5" customHeight="1" x14ac:dyDescent="0.25">
      <c r="A105" s="20" t="s">
        <v>539</v>
      </c>
      <c r="B105" s="21" t="s">
        <v>60</v>
      </c>
      <c r="C105" s="21" t="s">
        <v>540</v>
      </c>
      <c r="D105" s="21" t="s">
        <v>483</v>
      </c>
      <c r="E105" s="21" t="s">
        <v>541</v>
      </c>
      <c r="F105" s="21" t="s">
        <v>77</v>
      </c>
      <c r="G105" s="21" t="s">
        <v>542</v>
      </c>
      <c r="H105" s="22" t="s">
        <v>47</v>
      </c>
      <c r="I105" s="22"/>
      <c r="J105" s="22"/>
      <c r="K105" s="23"/>
    </row>
    <row r="106" spans="1:11" ht="31.5" customHeight="1" x14ac:dyDescent="0.25">
      <c r="A106" s="20" t="s">
        <v>543</v>
      </c>
      <c r="B106" s="21" t="s">
        <v>60</v>
      </c>
      <c r="C106" s="21" t="s">
        <v>544</v>
      </c>
      <c r="D106" s="21" t="s">
        <v>483</v>
      </c>
      <c r="E106" s="21" t="s">
        <v>545</v>
      </c>
      <c r="F106" s="21" t="s">
        <v>546</v>
      </c>
      <c r="G106" s="21" t="s">
        <v>547</v>
      </c>
      <c r="H106" s="22" t="s">
        <v>47</v>
      </c>
      <c r="I106" s="22"/>
      <c r="J106" s="22"/>
      <c r="K106" s="23"/>
    </row>
    <row r="107" spans="1:11" ht="31.5" customHeight="1" x14ac:dyDescent="0.25">
      <c r="A107" s="20" t="s">
        <v>548</v>
      </c>
      <c r="B107" s="21" t="s">
        <v>60</v>
      </c>
      <c r="C107" s="21" t="s">
        <v>549</v>
      </c>
      <c r="D107" s="21" t="s">
        <v>483</v>
      </c>
      <c r="E107" s="21" t="s">
        <v>550</v>
      </c>
      <c r="F107" s="21" t="s">
        <v>551</v>
      </c>
      <c r="G107" s="21" t="s">
        <v>552</v>
      </c>
      <c r="H107" s="22" t="s">
        <v>47</v>
      </c>
      <c r="I107" s="22"/>
      <c r="J107" s="22"/>
      <c r="K107" s="23"/>
    </row>
    <row r="108" spans="1:11" ht="31.5" customHeight="1" x14ac:dyDescent="0.25">
      <c r="A108" s="20" t="s">
        <v>553</v>
      </c>
      <c r="B108" s="21" t="s">
        <v>60</v>
      </c>
      <c r="C108" s="21" t="s">
        <v>554</v>
      </c>
      <c r="D108" s="21" t="s">
        <v>483</v>
      </c>
      <c r="E108" s="21" t="s">
        <v>555</v>
      </c>
      <c r="F108" s="21" t="s">
        <v>77</v>
      </c>
      <c r="G108" s="21" t="s">
        <v>556</v>
      </c>
      <c r="H108" s="22" t="s">
        <v>47</v>
      </c>
      <c r="I108" s="22"/>
      <c r="J108" s="22"/>
      <c r="K108" s="23"/>
    </row>
    <row r="109" spans="1:11" ht="31.5" customHeight="1" x14ac:dyDescent="0.25">
      <c r="A109" s="20" t="s">
        <v>557</v>
      </c>
      <c r="B109" s="21" t="s">
        <v>60</v>
      </c>
      <c r="C109" s="21" t="s">
        <v>558</v>
      </c>
      <c r="D109" s="21" t="s">
        <v>483</v>
      </c>
      <c r="E109" s="21" t="s">
        <v>559</v>
      </c>
      <c r="F109" s="21" t="s">
        <v>560</v>
      </c>
      <c r="G109" s="21" t="s">
        <v>561</v>
      </c>
      <c r="H109" s="22" t="s">
        <v>47</v>
      </c>
      <c r="I109" s="22"/>
      <c r="J109" s="22"/>
      <c r="K109" s="23"/>
    </row>
    <row r="110" spans="1:11" ht="31.5" customHeight="1" x14ac:dyDescent="0.25">
      <c r="A110" s="20" t="s">
        <v>562</v>
      </c>
      <c r="B110" s="21" t="s">
        <v>60</v>
      </c>
      <c r="C110" s="21" t="s">
        <v>292</v>
      </c>
      <c r="D110" s="21" t="s">
        <v>483</v>
      </c>
      <c r="E110" s="21" t="s">
        <v>563</v>
      </c>
      <c r="F110" s="21" t="s">
        <v>564</v>
      </c>
      <c r="G110" s="21" t="s">
        <v>565</v>
      </c>
      <c r="H110" s="22" t="s">
        <v>47</v>
      </c>
      <c r="I110" s="22"/>
      <c r="J110" s="22"/>
      <c r="K110" s="23"/>
    </row>
    <row r="111" spans="1:11" ht="31.5" customHeight="1" x14ac:dyDescent="0.25">
      <c r="A111" s="20" t="s">
        <v>566</v>
      </c>
      <c r="B111" s="21" t="s">
        <v>60</v>
      </c>
      <c r="C111" s="21" t="s">
        <v>567</v>
      </c>
      <c r="D111" s="21" t="s">
        <v>483</v>
      </c>
      <c r="E111" s="21" t="s">
        <v>568</v>
      </c>
      <c r="F111" s="21" t="s">
        <v>77</v>
      </c>
      <c r="G111" s="21" t="s">
        <v>569</v>
      </c>
      <c r="H111" s="22" t="s">
        <v>47</v>
      </c>
      <c r="I111" s="22"/>
      <c r="J111" s="22"/>
      <c r="K111" s="23"/>
    </row>
    <row r="112" spans="1:11" ht="31.5" customHeight="1" x14ac:dyDescent="0.25">
      <c r="A112" s="20" t="s">
        <v>570</v>
      </c>
      <c r="B112" s="21" t="s">
        <v>60</v>
      </c>
      <c r="C112" s="21" t="s">
        <v>571</v>
      </c>
      <c r="D112" s="21" t="s">
        <v>483</v>
      </c>
      <c r="E112" s="21" t="s">
        <v>572</v>
      </c>
      <c r="F112" s="21" t="s">
        <v>77</v>
      </c>
      <c r="G112" s="21" t="s">
        <v>573</v>
      </c>
      <c r="H112" s="22" t="s">
        <v>47</v>
      </c>
      <c r="I112" s="22"/>
      <c r="J112" s="22"/>
      <c r="K112" s="23"/>
    </row>
    <row r="113" spans="1:11" ht="31.5" customHeight="1" x14ac:dyDescent="0.25">
      <c r="A113" s="20" t="s">
        <v>574</v>
      </c>
      <c r="B113" s="21" t="s">
        <v>60</v>
      </c>
      <c r="C113" s="21" t="s">
        <v>575</v>
      </c>
      <c r="D113" s="21" t="s">
        <v>483</v>
      </c>
      <c r="E113" s="21" t="s">
        <v>576</v>
      </c>
      <c r="F113" s="21" t="s">
        <v>77</v>
      </c>
      <c r="G113" s="21" t="s">
        <v>577</v>
      </c>
      <c r="H113" s="22" t="s">
        <v>47</v>
      </c>
      <c r="I113" s="22"/>
      <c r="J113" s="22"/>
      <c r="K113" s="23"/>
    </row>
    <row r="114" spans="1:11" ht="31.5" customHeight="1" x14ac:dyDescent="0.25">
      <c r="A114" s="20" t="s">
        <v>578</v>
      </c>
      <c r="B114" s="21" t="s">
        <v>60</v>
      </c>
      <c r="C114" s="21" t="s">
        <v>579</v>
      </c>
      <c r="D114" s="21" t="s">
        <v>483</v>
      </c>
      <c r="E114" s="21" t="s">
        <v>580</v>
      </c>
      <c r="F114" s="21" t="s">
        <v>77</v>
      </c>
      <c r="G114" s="21" t="s">
        <v>581</v>
      </c>
      <c r="H114" s="22" t="s">
        <v>47</v>
      </c>
      <c r="I114" s="22"/>
      <c r="J114" s="22"/>
      <c r="K114" s="23"/>
    </row>
    <row r="115" spans="1:11" ht="45.75" customHeight="1" x14ac:dyDescent="0.25">
      <c r="A115" s="20" t="s">
        <v>582</v>
      </c>
      <c r="B115" s="21" t="s">
        <v>60</v>
      </c>
      <c r="C115" s="21" t="s">
        <v>583</v>
      </c>
      <c r="D115" s="21" t="s">
        <v>421</v>
      </c>
      <c r="E115" s="21" t="s">
        <v>584</v>
      </c>
      <c r="F115" s="21" t="s">
        <v>585</v>
      </c>
      <c r="G115" s="21" t="s">
        <v>586</v>
      </c>
      <c r="H115" s="22" t="s">
        <v>47</v>
      </c>
      <c r="I115" s="22"/>
      <c r="J115" s="22"/>
      <c r="K115" s="23"/>
    </row>
    <row r="116" spans="1:11" ht="31.5" customHeight="1" x14ac:dyDescent="0.25">
      <c r="A116" s="20" t="s">
        <v>587</v>
      </c>
      <c r="B116" s="21" t="s">
        <v>60</v>
      </c>
      <c r="C116" s="21" t="s">
        <v>588</v>
      </c>
      <c r="D116" s="21" t="s">
        <v>465</v>
      </c>
      <c r="E116" s="21" t="s">
        <v>589</v>
      </c>
      <c r="F116" s="21" t="s">
        <v>77</v>
      </c>
      <c r="G116" s="21" t="s">
        <v>590</v>
      </c>
      <c r="H116" s="22" t="s">
        <v>47</v>
      </c>
      <c r="I116" s="22"/>
      <c r="J116" s="22"/>
      <c r="K116" s="23"/>
    </row>
    <row r="117" spans="1:11" ht="45.75" customHeight="1" x14ac:dyDescent="0.25">
      <c r="A117" s="24" t="s">
        <v>591</v>
      </c>
      <c r="B117" s="25" t="s">
        <v>61</v>
      </c>
      <c r="C117" s="25" t="s">
        <v>592</v>
      </c>
      <c r="D117" s="25" t="s">
        <v>75</v>
      </c>
      <c r="E117" s="25" t="s">
        <v>593</v>
      </c>
      <c r="F117" s="25" t="s">
        <v>77</v>
      </c>
      <c r="G117" s="25" t="s">
        <v>594</v>
      </c>
      <c r="H117" s="22" t="s">
        <v>47</v>
      </c>
      <c r="I117" s="22"/>
      <c r="J117" s="22"/>
      <c r="K117" s="23"/>
    </row>
    <row r="118" spans="1:11" ht="31.5" customHeight="1" x14ac:dyDescent="0.25">
      <c r="A118" s="24" t="s">
        <v>595</v>
      </c>
      <c r="B118" s="25" t="s">
        <v>61</v>
      </c>
      <c r="C118" s="25" t="s">
        <v>596</v>
      </c>
      <c r="D118" s="25" t="s">
        <v>75</v>
      </c>
      <c r="E118" s="25" t="s">
        <v>597</v>
      </c>
      <c r="F118" s="25" t="s">
        <v>77</v>
      </c>
      <c r="G118" s="25" t="s">
        <v>598</v>
      </c>
      <c r="H118" s="22" t="s">
        <v>47</v>
      </c>
      <c r="I118" s="22"/>
      <c r="J118" s="22"/>
      <c r="K118" s="23"/>
    </row>
    <row r="119" spans="1:11" ht="31.5" customHeight="1" x14ac:dyDescent="0.25">
      <c r="A119" s="24" t="s">
        <v>599</v>
      </c>
      <c r="B119" s="25" t="s">
        <v>61</v>
      </c>
      <c r="C119" s="25" t="s">
        <v>600</v>
      </c>
      <c r="D119" s="25" t="s">
        <v>75</v>
      </c>
      <c r="E119" s="25" t="s">
        <v>601</v>
      </c>
      <c r="F119" s="25" t="s">
        <v>77</v>
      </c>
      <c r="G119" s="25" t="s">
        <v>249</v>
      </c>
      <c r="H119" s="22" t="s">
        <v>47</v>
      </c>
      <c r="I119" s="22"/>
      <c r="J119" s="22"/>
      <c r="K119" s="23"/>
    </row>
    <row r="120" spans="1:11" ht="31.5" customHeight="1" x14ac:dyDescent="0.25">
      <c r="A120" s="24" t="s">
        <v>602</v>
      </c>
      <c r="B120" s="25" t="s">
        <v>61</v>
      </c>
      <c r="C120" s="25" t="s">
        <v>603</v>
      </c>
      <c r="D120" s="25" t="s">
        <v>75</v>
      </c>
      <c r="E120" s="25" t="s">
        <v>604</v>
      </c>
      <c r="F120" s="25" t="s">
        <v>605</v>
      </c>
      <c r="G120" s="25" t="s">
        <v>606</v>
      </c>
      <c r="H120" s="22" t="s">
        <v>47</v>
      </c>
      <c r="I120" s="22"/>
      <c r="J120" s="22"/>
      <c r="K120" s="23"/>
    </row>
    <row r="121" spans="1:11" ht="31.5" customHeight="1" x14ac:dyDescent="0.25">
      <c r="A121" s="24" t="s">
        <v>607</v>
      </c>
      <c r="B121" s="25" t="s">
        <v>61</v>
      </c>
      <c r="C121" s="25" t="s">
        <v>608</v>
      </c>
      <c r="D121" s="25" t="s">
        <v>609</v>
      </c>
      <c r="E121" s="25" t="s">
        <v>610</v>
      </c>
      <c r="F121" s="25" t="s">
        <v>77</v>
      </c>
      <c r="G121" s="25" t="s">
        <v>611</v>
      </c>
      <c r="H121" s="22" t="s">
        <v>47</v>
      </c>
      <c r="I121" s="22"/>
      <c r="J121" s="22"/>
      <c r="K121" s="23"/>
    </row>
    <row r="122" spans="1:11" ht="31.5" customHeight="1" x14ac:dyDescent="0.25">
      <c r="A122" s="24" t="s">
        <v>612</v>
      </c>
      <c r="B122" s="25" t="s">
        <v>61</v>
      </c>
      <c r="C122" s="25" t="s">
        <v>613</v>
      </c>
      <c r="D122" s="25" t="s">
        <v>75</v>
      </c>
      <c r="E122" s="25" t="s">
        <v>614</v>
      </c>
      <c r="F122" s="25" t="s">
        <v>77</v>
      </c>
      <c r="G122" s="25" t="s">
        <v>615</v>
      </c>
      <c r="H122" s="22" t="s">
        <v>47</v>
      </c>
      <c r="I122" s="22"/>
      <c r="J122" s="22"/>
      <c r="K122" s="23"/>
    </row>
    <row r="123" spans="1:11" ht="31.5" customHeight="1" x14ac:dyDescent="0.25">
      <c r="A123" s="24" t="s">
        <v>616</v>
      </c>
      <c r="B123" s="25" t="s">
        <v>61</v>
      </c>
      <c r="C123" s="25" t="s">
        <v>617</v>
      </c>
      <c r="D123" s="25" t="s">
        <v>163</v>
      </c>
      <c r="E123" s="25" t="s">
        <v>618</v>
      </c>
      <c r="F123" s="25" t="s">
        <v>77</v>
      </c>
      <c r="G123" s="25" t="s">
        <v>619</v>
      </c>
      <c r="H123" s="22" t="s">
        <v>47</v>
      </c>
      <c r="I123" s="22"/>
      <c r="J123" s="22"/>
      <c r="K123" s="23"/>
    </row>
    <row r="124" spans="1:11" ht="31.5" customHeight="1" x14ac:dyDescent="0.25">
      <c r="A124" s="24" t="s">
        <v>620</v>
      </c>
      <c r="B124" s="25" t="s">
        <v>61</v>
      </c>
      <c r="C124" s="25" t="s">
        <v>621</v>
      </c>
      <c r="D124" s="25" t="s">
        <v>163</v>
      </c>
      <c r="E124" s="25" t="s">
        <v>622</v>
      </c>
      <c r="F124" s="25" t="s">
        <v>623</v>
      </c>
      <c r="G124" s="25" t="s">
        <v>624</v>
      </c>
      <c r="H124" s="22" t="s">
        <v>47</v>
      </c>
      <c r="I124" s="22"/>
      <c r="J124" s="22"/>
      <c r="K124" s="23"/>
    </row>
    <row r="125" spans="1:11" ht="45.75" customHeight="1" x14ac:dyDescent="0.25">
      <c r="A125" s="24" t="s">
        <v>625</v>
      </c>
      <c r="B125" s="25" t="s">
        <v>61</v>
      </c>
      <c r="C125" s="25" t="s">
        <v>626</v>
      </c>
      <c r="D125" s="25" t="s">
        <v>163</v>
      </c>
      <c r="E125" s="25" t="s">
        <v>627</v>
      </c>
      <c r="F125" s="25" t="s">
        <v>77</v>
      </c>
      <c r="G125" s="25" t="s">
        <v>628</v>
      </c>
      <c r="H125" s="22" t="s">
        <v>47</v>
      </c>
      <c r="I125" s="22"/>
      <c r="J125" s="22"/>
      <c r="K125" s="23"/>
    </row>
    <row r="126" spans="1:11" ht="31.5" customHeight="1" x14ac:dyDescent="0.25">
      <c r="A126" s="24" t="s">
        <v>629</v>
      </c>
      <c r="B126" s="25" t="s">
        <v>61</v>
      </c>
      <c r="C126" s="25" t="s">
        <v>630</v>
      </c>
      <c r="D126" s="25" t="s">
        <v>163</v>
      </c>
      <c r="E126" s="25" t="s">
        <v>631</v>
      </c>
      <c r="F126" s="25" t="s">
        <v>77</v>
      </c>
      <c r="G126" s="25" t="s">
        <v>632</v>
      </c>
      <c r="H126" s="22" t="s">
        <v>47</v>
      </c>
      <c r="I126" s="22"/>
      <c r="J126" s="22"/>
      <c r="K126" s="23"/>
    </row>
    <row r="127" spans="1:11" ht="31.5" customHeight="1" x14ac:dyDescent="0.25">
      <c r="A127" s="24" t="s">
        <v>633</v>
      </c>
      <c r="B127" s="25" t="s">
        <v>61</v>
      </c>
      <c r="C127" s="25" t="s">
        <v>634</v>
      </c>
      <c r="D127" s="25" t="s">
        <v>163</v>
      </c>
      <c r="E127" s="25" t="s">
        <v>635</v>
      </c>
      <c r="F127" s="25" t="s">
        <v>77</v>
      </c>
      <c r="G127" s="25" t="s">
        <v>636</v>
      </c>
      <c r="H127" s="22" t="s">
        <v>47</v>
      </c>
      <c r="I127" s="22"/>
      <c r="J127" s="22"/>
      <c r="K127" s="23"/>
    </row>
    <row r="128" spans="1:11" ht="31.5" customHeight="1" x14ac:dyDescent="0.25">
      <c r="A128" s="24" t="s">
        <v>637</v>
      </c>
      <c r="B128" s="25" t="s">
        <v>61</v>
      </c>
      <c r="C128" s="25" t="s">
        <v>638</v>
      </c>
      <c r="D128" s="25" t="s">
        <v>75</v>
      </c>
      <c r="E128" s="25" t="s">
        <v>639</v>
      </c>
      <c r="F128" s="25" t="s">
        <v>77</v>
      </c>
      <c r="G128" s="25" t="s">
        <v>640</v>
      </c>
      <c r="H128" s="22" t="s">
        <v>47</v>
      </c>
      <c r="I128" s="22"/>
      <c r="J128" s="22"/>
      <c r="K128" s="23"/>
    </row>
    <row r="129" spans="1:11" ht="31.5" customHeight="1" x14ac:dyDescent="0.25">
      <c r="A129" s="24" t="s">
        <v>641</v>
      </c>
      <c r="B129" s="25" t="s">
        <v>61</v>
      </c>
      <c r="C129" s="25" t="s">
        <v>642</v>
      </c>
      <c r="D129" s="25" t="s">
        <v>75</v>
      </c>
      <c r="E129" s="25" t="s">
        <v>643</v>
      </c>
      <c r="F129" s="25" t="s">
        <v>77</v>
      </c>
      <c r="G129" s="25" t="s">
        <v>644</v>
      </c>
      <c r="H129" s="22" t="s">
        <v>47</v>
      </c>
      <c r="I129" s="22"/>
      <c r="J129" s="22"/>
      <c r="K129" s="23"/>
    </row>
    <row r="130" spans="1:11" ht="31.5" customHeight="1" x14ac:dyDescent="0.25">
      <c r="A130" s="20" t="s">
        <v>645</v>
      </c>
      <c r="B130" s="21" t="s">
        <v>62</v>
      </c>
      <c r="C130" s="21" t="s">
        <v>646</v>
      </c>
      <c r="D130" s="21" t="s">
        <v>103</v>
      </c>
      <c r="E130" s="21" t="s">
        <v>647</v>
      </c>
      <c r="F130" s="21" t="s">
        <v>77</v>
      </c>
      <c r="G130" s="21" t="s">
        <v>648</v>
      </c>
      <c r="H130" s="22" t="s">
        <v>47</v>
      </c>
      <c r="I130" s="22"/>
      <c r="J130" s="22"/>
      <c r="K130" s="23"/>
    </row>
    <row r="131" spans="1:11" ht="31.5" customHeight="1" x14ac:dyDescent="0.25">
      <c r="A131" s="20" t="s">
        <v>649</v>
      </c>
      <c r="B131" s="21" t="s">
        <v>62</v>
      </c>
      <c r="C131" s="21" t="s">
        <v>650</v>
      </c>
      <c r="D131" s="21" t="s">
        <v>129</v>
      </c>
      <c r="E131" s="21" t="s">
        <v>651</v>
      </c>
      <c r="F131" s="21" t="s">
        <v>77</v>
      </c>
      <c r="G131" s="21" t="s">
        <v>652</v>
      </c>
      <c r="H131" s="22" t="s">
        <v>47</v>
      </c>
      <c r="I131" s="22"/>
      <c r="J131" s="22"/>
      <c r="K131" s="23"/>
    </row>
    <row r="132" spans="1:11" ht="31.5" customHeight="1" x14ac:dyDescent="0.25">
      <c r="A132" s="20" t="s">
        <v>653</v>
      </c>
      <c r="B132" s="21" t="s">
        <v>62</v>
      </c>
      <c r="C132" s="21" t="s">
        <v>654</v>
      </c>
      <c r="D132" s="21" t="s">
        <v>655</v>
      </c>
      <c r="E132" s="21" t="s">
        <v>656</v>
      </c>
      <c r="F132" s="21" t="s">
        <v>77</v>
      </c>
      <c r="G132" s="21" t="s">
        <v>657</v>
      </c>
      <c r="H132" s="22" t="s">
        <v>47</v>
      </c>
      <c r="I132" s="22"/>
      <c r="J132" s="22"/>
      <c r="K132" s="23"/>
    </row>
    <row r="133" spans="1:11" ht="31.5" customHeight="1" x14ac:dyDescent="0.25">
      <c r="A133" s="20" t="s">
        <v>658</v>
      </c>
      <c r="B133" s="21" t="s">
        <v>62</v>
      </c>
      <c r="C133" s="21" t="s">
        <v>659</v>
      </c>
      <c r="D133" s="21" t="s">
        <v>655</v>
      </c>
      <c r="E133" s="21" t="s">
        <v>660</v>
      </c>
      <c r="F133" s="21" t="s">
        <v>77</v>
      </c>
      <c r="G133" s="21" t="s">
        <v>661</v>
      </c>
      <c r="H133" s="22" t="s">
        <v>47</v>
      </c>
      <c r="I133" s="22"/>
      <c r="J133" s="22"/>
      <c r="K133" s="23"/>
    </row>
  </sheetData>
  <autoFilter ref="A1:K133" xr:uid="{00000000-0009-0000-0000-000002000000}"/>
  <conditionalFormatting sqref="H2:H133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errorTitle="Status" error="Choose Not run, Pass, Fail or Blocked." sqref="H2:H133" xr:uid="{00000000-0002-0000-02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0" customWidth="1"/>
    <col min="3" max="3" width="11" customWidth="1"/>
    <col min="4" max="5" width="45" customWidth="1"/>
    <col min="6" max="6" width="35" customWidth="1"/>
    <col min="7" max="7" width="14" customWidth="1"/>
    <col min="8" max="8" width="20" customWidth="1"/>
  </cols>
  <sheetData>
    <row r="1" spans="1:8" x14ac:dyDescent="0.25">
      <c r="A1" s="19" t="s">
        <v>662</v>
      </c>
      <c r="B1" s="19" t="s">
        <v>663</v>
      </c>
      <c r="C1" s="19" t="s">
        <v>664</v>
      </c>
      <c r="D1" s="19" t="s">
        <v>665</v>
      </c>
      <c r="E1" s="19" t="s">
        <v>666</v>
      </c>
      <c r="F1" s="19" t="s">
        <v>667</v>
      </c>
      <c r="G1" s="19" t="s">
        <v>35</v>
      </c>
      <c r="H1" s="19" t="s">
        <v>668</v>
      </c>
    </row>
    <row r="2" spans="1:8" ht="43.5" customHeight="1" x14ac:dyDescent="0.25">
      <c r="A2" s="26" t="s">
        <v>669</v>
      </c>
      <c r="B2" s="26" t="s">
        <v>543</v>
      </c>
      <c r="C2" s="26" t="s">
        <v>670</v>
      </c>
      <c r="D2" s="26" t="s">
        <v>671</v>
      </c>
      <c r="E2" s="26" t="s">
        <v>672</v>
      </c>
      <c r="F2" s="26" t="s">
        <v>673</v>
      </c>
      <c r="G2" s="26" t="s">
        <v>674</v>
      </c>
      <c r="H2" s="26"/>
    </row>
    <row r="3" spans="1:8" x14ac:dyDescent="0.25">
      <c r="A3" s="22"/>
      <c r="B3" s="22"/>
      <c r="C3" s="22"/>
      <c r="D3" s="22"/>
      <c r="E3" s="22"/>
      <c r="F3" s="22"/>
      <c r="G3" s="22"/>
      <c r="H3" s="22"/>
    </row>
    <row r="4" spans="1:8" x14ac:dyDescent="0.25">
      <c r="A4" s="22"/>
      <c r="B4" s="22"/>
      <c r="C4" s="22"/>
      <c r="D4" s="22"/>
      <c r="E4" s="22"/>
      <c r="F4" s="22"/>
      <c r="G4" s="22"/>
      <c r="H4" s="22"/>
    </row>
    <row r="5" spans="1:8" x14ac:dyDescent="0.25">
      <c r="A5" s="22"/>
      <c r="B5" s="22"/>
      <c r="C5" s="22"/>
      <c r="D5" s="22"/>
      <c r="E5" s="22"/>
      <c r="F5" s="22"/>
      <c r="G5" s="22"/>
      <c r="H5" s="22"/>
    </row>
    <row r="6" spans="1:8" x14ac:dyDescent="0.25">
      <c r="A6" s="22"/>
      <c r="B6" s="22"/>
      <c r="C6" s="22"/>
      <c r="D6" s="22"/>
      <c r="E6" s="22"/>
      <c r="F6" s="22"/>
      <c r="G6" s="22"/>
      <c r="H6" s="22"/>
    </row>
    <row r="7" spans="1:8" x14ac:dyDescent="0.25">
      <c r="A7" s="22"/>
      <c r="B7" s="22"/>
      <c r="C7" s="22"/>
      <c r="D7" s="22"/>
      <c r="E7" s="22"/>
      <c r="F7" s="22"/>
      <c r="G7" s="22"/>
      <c r="H7" s="22"/>
    </row>
    <row r="8" spans="1:8" x14ac:dyDescent="0.25">
      <c r="A8" s="22"/>
      <c r="B8" s="22"/>
      <c r="C8" s="22"/>
      <c r="D8" s="22"/>
      <c r="E8" s="22"/>
      <c r="F8" s="22"/>
      <c r="G8" s="22"/>
      <c r="H8" s="22"/>
    </row>
    <row r="9" spans="1:8" x14ac:dyDescent="0.25">
      <c r="A9" s="22"/>
      <c r="B9" s="22"/>
      <c r="C9" s="22"/>
      <c r="D9" s="22"/>
      <c r="E9" s="22"/>
      <c r="F9" s="22"/>
      <c r="G9" s="22"/>
      <c r="H9" s="22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  <row r="14" spans="1:8" x14ac:dyDescent="0.25">
      <c r="A14" s="22"/>
      <c r="B14" s="22"/>
      <c r="C14" s="22"/>
      <c r="D14" s="22"/>
      <c r="E14" s="22"/>
      <c r="F14" s="22"/>
      <c r="G14" s="22"/>
      <c r="H14" s="22"/>
    </row>
    <row r="15" spans="1:8" x14ac:dyDescent="0.25">
      <c r="A15" s="22"/>
      <c r="B15" s="22"/>
      <c r="C15" s="22"/>
      <c r="D15" s="22"/>
      <c r="E15" s="22"/>
      <c r="F15" s="22"/>
      <c r="G15" s="22"/>
      <c r="H15" s="22"/>
    </row>
    <row r="16" spans="1:8" x14ac:dyDescent="0.25">
      <c r="A16" s="22"/>
      <c r="B16" s="22"/>
      <c r="C16" s="22"/>
      <c r="D16" s="22"/>
      <c r="E16" s="22"/>
      <c r="F16" s="22"/>
      <c r="G16" s="22"/>
      <c r="H16" s="22"/>
    </row>
    <row r="17" spans="1:8" x14ac:dyDescent="0.25">
      <c r="A17" s="22"/>
      <c r="B17" s="22"/>
      <c r="C17" s="22"/>
      <c r="D17" s="22"/>
      <c r="E17" s="22"/>
      <c r="F17" s="22"/>
      <c r="G17" s="22"/>
      <c r="H17" s="22"/>
    </row>
    <row r="18" spans="1:8" x14ac:dyDescent="0.25">
      <c r="A18" s="22"/>
      <c r="B18" s="22"/>
      <c r="C18" s="22"/>
      <c r="D18" s="22"/>
      <c r="E18" s="22"/>
      <c r="F18" s="22"/>
      <c r="G18" s="22"/>
      <c r="H18" s="22"/>
    </row>
    <row r="19" spans="1:8" x14ac:dyDescent="0.25">
      <c r="A19" s="22"/>
      <c r="B19" s="22"/>
      <c r="C19" s="22"/>
      <c r="D19" s="22"/>
      <c r="E19" s="22"/>
      <c r="F19" s="22"/>
      <c r="G19" s="22"/>
      <c r="H19" s="22"/>
    </row>
    <row r="20" spans="1:8" x14ac:dyDescent="0.25">
      <c r="A20" s="22"/>
      <c r="B20" s="22"/>
      <c r="C20" s="22"/>
      <c r="D20" s="22"/>
      <c r="E20" s="22"/>
      <c r="F20" s="22"/>
      <c r="G20" s="22"/>
      <c r="H20" s="22"/>
    </row>
    <row r="21" spans="1:8" x14ac:dyDescent="0.25">
      <c r="A21" s="22"/>
      <c r="B21" s="22"/>
      <c r="C21" s="22"/>
      <c r="D21" s="22"/>
      <c r="E21" s="22"/>
      <c r="F21" s="22"/>
      <c r="G21" s="22"/>
      <c r="H21" s="22"/>
    </row>
    <row r="22" spans="1:8" x14ac:dyDescent="0.25">
      <c r="A22" s="22"/>
      <c r="B22" s="22"/>
      <c r="C22" s="22"/>
      <c r="D22" s="22"/>
      <c r="E22" s="22"/>
      <c r="F22" s="22"/>
      <c r="G22" s="22"/>
      <c r="H22" s="22"/>
    </row>
    <row r="23" spans="1:8" x14ac:dyDescent="0.25">
      <c r="A23" s="22"/>
      <c r="B23" s="22"/>
      <c r="C23" s="22"/>
      <c r="D23" s="22"/>
      <c r="E23" s="22"/>
      <c r="F23" s="22"/>
      <c r="G23" s="22"/>
      <c r="H23" s="22"/>
    </row>
    <row r="24" spans="1:8" x14ac:dyDescent="0.25">
      <c r="A24" s="22"/>
      <c r="B24" s="22"/>
      <c r="C24" s="22"/>
      <c r="D24" s="22"/>
      <c r="E24" s="22"/>
      <c r="F24" s="22"/>
      <c r="G24" s="22"/>
      <c r="H24" s="22"/>
    </row>
    <row r="25" spans="1:8" x14ac:dyDescent="0.25">
      <c r="A25" s="22"/>
      <c r="B25" s="22"/>
      <c r="C25" s="22"/>
      <c r="D25" s="22"/>
      <c r="E25" s="22"/>
      <c r="F25" s="22"/>
      <c r="G25" s="22"/>
      <c r="H25" s="22"/>
    </row>
    <row r="26" spans="1:8" x14ac:dyDescent="0.25">
      <c r="A26" s="22"/>
      <c r="B26" s="22"/>
      <c r="C26" s="22"/>
      <c r="D26" s="22"/>
      <c r="E26" s="22"/>
      <c r="F26" s="22"/>
      <c r="G26" s="22"/>
      <c r="H26" s="22"/>
    </row>
    <row r="27" spans="1:8" x14ac:dyDescent="0.25">
      <c r="A27" s="22"/>
      <c r="B27" s="22"/>
      <c r="C27" s="22"/>
      <c r="D27" s="22"/>
      <c r="E27" s="22"/>
      <c r="F27" s="22"/>
      <c r="G27" s="22"/>
      <c r="H27" s="22"/>
    </row>
    <row r="28" spans="1:8" x14ac:dyDescent="0.25">
      <c r="A28" s="22"/>
      <c r="B28" s="22"/>
      <c r="C28" s="22"/>
      <c r="D28" s="22"/>
      <c r="E28" s="22"/>
      <c r="F28" s="22"/>
      <c r="G28" s="22"/>
      <c r="H28" s="22"/>
    </row>
    <row r="29" spans="1:8" x14ac:dyDescent="0.25">
      <c r="A29" s="22"/>
      <c r="B29" s="22"/>
      <c r="C29" s="22"/>
      <c r="D29" s="22"/>
      <c r="E29" s="22"/>
      <c r="F29" s="22"/>
      <c r="G29" s="22"/>
      <c r="H29" s="22"/>
    </row>
    <row r="30" spans="1:8" x14ac:dyDescent="0.25">
      <c r="A30" s="22"/>
      <c r="B30" s="22"/>
      <c r="C30" s="22"/>
      <c r="D30" s="22"/>
      <c r="E30" s="22"/>
      <c r="F30" s="22"/>
      <c r="G30" s="22"/>
      <c r="H30" s="22"/>
    </row>
    <row r="31" spans="1:8" x14ac:dyDescent="0.25">
      <c r="A31" s="22"/>
      <c r="B31" s="22"/>
      <c r="C31" s="22"/>
      <c r="D31" s="22"/>
      <c r="E31" s="22"/>
      <c r="F31" s="22"/>
      <c r="G31" s="22"/>
      <c r="H31" s="22"/>
    </row>
    <row r="32" spans="1:8" x14ac:dyDescent="0.25">
      <c r="A32" s="22"/>
      <c r="B32" s="22"/>
      <c r="C32" s="22"/>
      <c r="D32" s="22"/>
      <c r="E32" s="22"/>
      <c r="F32" s="22"/>
      <c r="G32" s="22"/>
      <c r="H32" s="22"/>
    </row>
    <row r="33" spans="1:8" x14ac:dyDescent="0.25">
      <c r="A33" s="22"/>
      <c r="B33" s="22"/>
      <c r="C33" s="22"/>
      <c r="D33" s="22"/>
      <c r="E33" s="22"/>
      <c r="F33" s="22"/>
      <c r="G33" s="22"/>
      <c r="H33" s="22"/>
    </row>
    <row r="34" spans="1:8" x14ac:dyDescent="0.25">
      <c r="A34" s="22"/>
      <c r="B34" s="22"/>
      <c r="C34" s="22"/>
      <c r="D34" s="22"/>
      <c r="E34" s="22"/>
      <c r="F34" s="22"/>
      <c r="G34" s="22"/>
      <c r="H34" s="22"/>
    </row>
    <row r="35" spans="1:8" x14ac:dyDescent="0.25">
      <c r="A35" s="22"/>
      <c r="B35" s="22"/>
      <c r="C35" s="22"/>
      <c r="D35" s="22"/>
      <c r="E35" s="22"/>
      <c r="F35" s="22"/>
      <c r="G35" s="22"/>
      <c r="H35" s="22"/>
    </row>
    <row r="36" spans="1:8" x14ac:dyDescent="0.25">
      <c r="A36" s="22"/>
      <c r="B36" s="22"/>
      <c r="C36" s="22"/>
      <c r="D36" s="22"/>
      <c r="E36" s="22"/>
      <c r="F36" s="22"/>
      <c r="G36" s="22"/>
      <c r="H36" s="22"/>
    </row>
    <row r="37" spans="1:8" x14ac:dyDescent="0.25">
      <c r="A37" s="22"/>
      <c r="B37" s="22"/>
      <c r="C37" s="22"/>
      <c r="D37" s="22"/>
      <c r="E37" s="22"/>
      <c r="F37" s="22"/>
      <c r="G37" s="22"/>
      <c r="H37" s="22"/>
    </row>
    <row r="38" spans="1:8" x14ac:dyDescent="0.25">
      <c r="A38" s="22"/>
      <c r="B38" s="22"/>
      <c r="C38" s="22"/>
      <c r="D38" s="22"/>
      <c r="E38" s="22"/>
      <c r="F38" s="22"/>
      <c r="G38" s="22"/>
      <c r="H38" s="22"/>
    </row>
    <row r="39" spans="1:8" x14ac:dyDescent="0.25">
      <c r="A39" s="22"/>
      <c r="B39" s="22"/>
      <c r="C39" s="22"/>
      <c r="D39" s="22"/>
      <c r="E39" s="22"/>
      <c r="F39" s="22"/>
      <c r="G39" s="22"/>
      <c r="H39" s="22"/>
    </row>
    <row r="40" spans="1:8" x14ac:dyDescent="0.25">
      <c r="A40" s="22"/>
      <c r="B40" s="22"/>
      <c r="C40" s="22"/>
      <c r="D40" s="22"/>
      <c r="E40" s="22"/>
      <c r="F40" s="22"/>
      <c r="G40" s="22"/>
      <c r="H40" s="22"/>
    </row>
    <row r="41" spans="1:8" x14ac:dyDescent="0.25">
      <c r="A41" s="22"/>
      <c r="B41" s="22"/>
      <c r="C41" s="22"/>
      <c r="D41" s="22"/>
      <c r="E41" s="22"/>
      <c r="F41" s="22"/>
      <c r="G41" s="22"/>
      <c r="H41" s="22"/>
    </row>
    <row r="42" spans="1:8" x14ac:dyDescent="0.25">
      <c r="A42" s="22"/>
      <c r="B42" s="22"/>
      <c r="C42" s="22"/>
      <c r="D42" s="22"/>
      <c r="E42" s="22"/>
      <c r="F42" s="22"/>
      <c r="G42" s="22"/>
      <c r="H42" s="22"/>
    </row>
    <row r="43" spans="1:8" x14ac:dyDescent="0.25">
      <c r="A43" s="22"/>
      <c r="B43" s="22"/>
      <c r="C43" s="22"/>
      <c r="D43" s="22"/>
      <c r="E43" s="22"/>
      <c r="F43" s="22"/>
      <c r="G43" s="22"/>
      <c r="H43" s="22"/>
    </row>
    <row r="44" spans="1:8" x14ac:dyDescent="0.25">
      <c r="A44" s="22"/>
      <c r="B44" s="22"/>
      <c r="C44" s="22"/>
      <c r="D44" s="22"/>
      <c r="E44" s="22"/>
      <c r="F44" s="22"/>
      <c r="G44" s="22"/>
      <c r="H44" s="22"/>
    </row>
    <row r="45" spans="1:8" x14ac:dyDescent="0.25">
      <c r="A45" s="22"/>
      <c r="B45" s="22"/>
      <c r="C45" s="22"/>
      <c r="D45" s="22"/>
      <c r="E45" s="22"/>
      <c r="F45" s="22"/>
      <c r="G45" s="22"/>
      <c r="H45" s="22"/>
    </row>
    <row r="46" spans="1:8" x14ac:dyDescent="0.25">
      <c r="A46" s="22"/>
      <c r="B46" s="22"/>
      <c r="C46" s="22"/>
      <c r="D46" s="22"/>
      <c r="E46" s="22"/>
      <c r="F46" s="22"/>
      <c r="G46" s="22"/>
      <c r="H46" s="22"/>
    </row>
    <row r="47" spans="1:8" x14ac:dyDescent="0.25">
      <c r="A47" s="22"/>
      <c r="B47" s="22"/>
      <c r="C47" s="22"/>
      <c r="D47" s="22"/>
      <c r="E47" s="22"/>
      <c r="F47" s="22"/>
      <c r="G47" s="22"/>
      <c r="H47" s="22"/>
    </row>
    <row r="48" spans="1:8" x14ac:dyDescent="0.25">
      <c r="A48" s="22"/>
      <c r="B48" s="22"/>
      <c r="C48" s="22"/>
      <c r="D48" s="22"/>
      <c r="E48" s="22"/>
      <c r="F48" s="22"/>
      <c r="G48" s="22"/>
      <c r="H48" s="22"/>
    </row>
    <row r="49" spans="1:8" x14ac:dyDescent="0.25">
      <c r="A49" s="22"/>
      <c r="B49" s="22"/>
      <c r="C49" s="22"/>
      <c r="D49" s="22"/>
      <c r="E49" s="22"/>
      <c r="F49" s="22"/>
      <c r="G49" s="22"/>
      <c r="H49" s="22"/>
    </row>
    <row r="50" spans="1:8" x14ac:dyDescent="0.25">
      <c r="A50" s="22"/>
      <c r="B50" s="22"/>
      <c r="C50" s="22"/>
      <c r="D50" s="22"/>
      <c r="E50" s="22"/>
      <c r="F50" s="22"/>
      <c r="G50" s="22"/>
      <c r="H50" s="22"/>
    </row>
    <row r="51" spans="1:8" x14ac:dyDescent="0.25">
      <c r="A51" s="22"/>
      <c r="B51" s="22"/>
      <c r="C51" s="22"/>
      <c r="D51" s="22"/>
      <c r="E51" s="22"/>
      <c r="F51" s="22"/>
      <c r="G51" s="22"/>
      <c r="H51" s="22"/>
    </row>
    <row r="52" spans="1:8" x14ac:dyDescent="0.25">
      <c r="A52" s="22"/>
      <c r="B52" s="22"/>
      <c r="C52" s="22"/>
      <c r="D52" s="22"/>
      <c r="E52" s="22"/>
      <c r="F52" s="22"/>
      <c r="G52" s="22"/>
      <c r="H52" s="22"/>
    </row>
    <row r="53" spans="1:8" x14ac:dyDescent="0.25">
      <c r="A53" s="22"/>
      <c r="B53" s="22"/>
      <c r="C53" s="22"/>
      <c r="D53" s="22"/>
      <c r="E53" s="22"/>
      <c r="F53" s="22"/>
      <c r="G53" s="22"/>
      <c r="H53" s="22"/>
    </row>
    <row r="54" spans="1:8" x14ac:dyDescent="0.25">
      <c r="A54" s="22"/>
      <c r="B54" s="22"/>
      <c r="C54" s="22"/>
      <c r="D54" s="22"/>
      <c r="E54" s="22"/>
      <c r="F54" s="22"/>
      <c r="G54" s="22"/>
      <c r="H54" s="22"/>
    </row>
    <row r="55" spans="1:8" x14ac:dyDescent="0.25">
      <c r="A55" s="22"/>
      <c r="B55" s="22"/>
      <c r="C55" s="22"/>
      <c r="D55" s="22"/>
      <c r="E55" s="22"/>
      <c r="F55" s="22"/>
      <c r="G55" s="22"/>
      <c r="H55" s="22"/>
    </row>
    <row r="56" spans="1:8" x14ac:dyDescent="0.25">
      <c r="A56" s="22"/>
      <c r="B56" s="22"/>
      <c r="C56" s="22"/>
      <c r="D56" s="22"/>
      <c r="E56" s="22"/>
      <c r="F56" s="22"/>
      <c r="G56" s="22"/>
      <c r="H56" s="22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x14ac:dyDescent="0.25">
      <c r="A58" s="22"/>
      <c r="B58" s="22"/>
      <c r="C58" s="22"/>
      <c r="D58" s="22"/>
      <c r="E58" s="22"/>
      <c r="F58" s="22"/>
      <c r="G58" s="22"/>
      <c r="H58" s="22"/>
    </row>
    <row r="59" spans="1:8" x14ac:dyDescent="0.25">
      <c r="A59" s="22"/>
      <c r="B59" s="22"/>
      <c r="C59" s="22"/>
      <c r="D59" s="22"/>
      <c r="E59" s="22"/>
      <c r="F59" s="22"/>
      <c r="G59" s="22"/>
      <c r="H59" s="22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x14ac:dyDescent="0.25">
      <c r="A61" s="22"/>
      <c r="B61" s="22"/>
      <c r="C61" s="22"/>
      <c r="D61" s="22"/>
      <c r="E61" s="22"/>
      <c r="F61" s="22"/>
      <c r="G61" s="22"/>
      <c r="H61" s="22"/>
    </row>
    <row r="62" spans="1:8" x14ac:dyDescent="0.25">
      <c r="A62" s="22"/>
      <c r="B62" s="22"/>
      <c r="C62" s="22"/>
      <c r="D62" s="22"/>
      <c r="E62" s="22"/>
      <c r="F62" s="22"/>
      <c r="G62" s="22"/>
      <c r="H62" s="22"/>
    </row>
    <row r="63" spans="1:8" x14ac:dyDescent="0.25">
      <c r="A63" s="22"/>
      <c r="B63" s="22"/>
      <c r="C63" s="22"/>
      <c r="D63" s="22"/>
      <c r="E63" s="22"/>
      <c r="F63" s="22"/>
      <c r="G63" s="22"/>
      <c r="H63" s="22"/>
    </row>
    <row r="64" spans="1:8" x14ac:dyDescent="0.25">
      <c r="A64" s="22"/>
      <c r="B64" s="22"/>
      <c r="C64" s="22"/>
      <c r="D64" s="22"/>
      <c r="E64" s="22"/>
      <c r="F64" s="22"/>
      <c r="G64" s="22"/>
      <c r="H64" s="22"/>
    </row>
    <row r="65" spans="1:8" x14ac:dyDescent="0.25">
      <c r="A65" s="22"/>
      <c r="B65" s="22"/>
      <c r="C65" s="22"/>
      <c r="D65" s="22"/>
      <c r="E65" s="22"/>
      <c r="F65" s="22"/>
      <c r="G65" s="22"/>
      <c r="H65" s="22"/>
    </row>
    <row r="66" spans="1:8" x14ac:dyDescent="0.25">
      <c r="A66" s="22"/>
      <c r="B66" s="22"/>
      <c r="C66" s="22"/>
      <c r="D66" s="22"/>
      <c r="E66" s="22"/>
      <c r="F66" s="22"/>
      <c r="G66" s="22"/>
      <c r="H66" s="22"/>
    </row>
    <row r="67" spans="1:8" x14ac:dyDescent="0.25">
      <c r="A67" s="22"/>
      <c r="B67" s="22"/>
      <c r="C67" s="22"/>
      <c r="D67" s="22"/>
      <c r="E67" s="22"/>
      <c r="F67" s="22"/>
      <c r="G67" s="22"/>
      <c r="H67" s="22"/>
    </row>
    <row r="68" spans="1:8" x14ac:dyDescent="0.25">
      <c r="A68" s="22"/>
      <c r="B68" s="22"/>
      <c r="C68" s="22"/>
      <c r="D68" s="22"/>
      <c r="E68" s="22"/>
      <c r="F68" s="22"/>
      <c r="G68" s="22"/>
      <c r="H68" s="22"/>
    </row>
    <row r="69" spans="1:8" x14ac:dyDescent="0.25">
      <c r="A69" s="22"/>
      <c r="B69" s="22"/>
      <c r="C69" s="22"/>
      <c r="D69" s="22"/>
      <c r="E69" s="22"/>
      <c r="F69" s="22"/>
      <c r="G69" s="22"/>
      <c r="H69" s="22"/>
    </row>
    <row r="70" spans="1:8" x14ac:dyDescent="0.25">
      <c r="A70" s="22"/>
      <c r="B70" s="22"/>
      <c r="C70" s="22"/>
      <c r="D70" s="22"/>
      <c r="E70" s="22"/>
      <c r="F70" s="22"/>
      <c r="G70" s="22"/>
      <c r="H70" s="22"/>
    </row>
    <row r="71" spans="1:8" x14ac:dyDescent="0.25">
      <c r="A71" s="22"/>
      <c r="B71" s="22"/>
      <c r="C71" s="22"/>
      <c r="D71" s="22"/>
      <c r="E71" s="22"/>
      <c r="F71" s="22"/>
      <c r="G71" s="22"/>
      <c r="H71" s="22"/>
    </row>
    <row r="72" spans="1:8" x14ac:dyDescent="0.25">
      <c r="A72" s="22"/>
      <c r="B72" s="22"/>
      <c r="C72" s="22"/>
      <c r="D72" s="22"/>
      <c r="E72" s="22"/>
      <c r="F72" s="22"/>
      <c r="G72" s="22"/>
      <c r="H72" s="22"/>
    </row>
    <row r="73" spans="1:8" x14ac:dyDescent="0.25">
      <c r="A73" s="22"/>
      <c r="B73" s="22"/>
      <c r="C73" s="22"/>
      <c r="D73" s="22"/>
      <c r="E73" s="22"/>
      <c r="F73" s="22"/>
      <c r="G73" s="22"/>
      <c r="H73" s="22"/>
    </row>
    <row r="74" spans="1:8" x14ac:dyDescent="0.25">
      <c r="A74" s="22"/>
      <c r="B74" s="22"/>
      <c r="C74" s="22"/>
      <c r="D74" s="22"/>
      <c r="E74" s="22"/>
      <c r="F74" s="22"/>
      <c r="G74" s="22"/>
      <c r="H74" s="22"/>
    </row>
    <row r="75" spans="1:8" x14ac:dyDescent="0.25">
      <c r="A75" s="22"/>
      <c r="B75" s="22"/>
      <c r="C75" s="22"/>
      <c r="D75" s="22"/>
      <c r="E75" s="22"/>
      <c r="F75" s="22"/>
      <c r="G75" s="22"/>
      <c r="H75" s="22"/>
    </row>
    <row r="76" spans="1:8" x14ac:dyDescent="0.25">
      <c r="A76" s="22"/>
      <c r="B76" s="22"/>
      <c r="C76" s="22"/>
      <c r="D76" s="22"/>
      <c r="E76" s="22"/>
      <c r="F76" s="22"/>
      <c r="G76" s="22"/>
      <c r="H76" s="22"/>
    </row>
    <row r="77" spans="1:8" x14ac:dyDescent="0.25">
      <c r="A77" s="22"/>
      <c r="B77" s="22"/>
      <c r="C77" s="22"/>
      <c r="D77" s="22"/>
      <c r="E77" s="22"/>
      <c r="F77" s="22"/>
      <c r="G77" s="22"/>
      <c r="H77" s="22"/>
    </row>
    <row r="78" spans="1:8" x14ac:dyDescent="0.25">
      <c r="A78" s="22"/>
      <c r="B78" s="22"/>
      <c r="C78" s="22"/>
      <c r="D78" s="22"/>
      <c r="E78" s="22"/>
      <c r="F78" s="22"/>
      <c r="G78" s="22"/>
      <c r="H78" s="22"/>
    </row>
    <row r="79" spans="1:8" x14ac:dyDescent="0.25">
      <c r="A79" s="22"/>
      <c r="B79" s="22"/>
      <c r="C79" s="22"/>
      <c r="D79" s="22"/>
      <c r="E79" s="22"/>
      <c r="F79" s="22"/>
      <c r="G79" s="22"/>
      <c r="H79" s="22"/>
    </row>
    <row r="80" spans="1:8" x14ac:dyDescent="0.25">
      <c r="A80" s="22"/>
      <c r="B80" s="22"/>
      <c r="C80" s="22"/>
      <c r="D80" s="22"/>
      <c r="E80" s="22"/>
      <c r="F80" s="22"/>
      <c r="G80" s="22"/>
      <c r="H80" s="22"/>
    </row>
    <row r="81" spans="1:8" x14ac:dyDescent="0.25">
      <c r="A81" s="22"/>
      <c r="B81" s="22"/>
      <c r="C81" s="22"/>
      <c r="D81" s="22"/>
      <c r="E81" s="22"/>
      <c r="F81" s="22"/>
      <c r="G81" s="22"/>
      <c r="H81" s="22"/>
    </row>
    <row r="82" spans="1:8" x14ac:dyDescent="0.25">
      <c r="A82" s="22"/>
      <c r="B82" s="22"/>
      <c r="C82" s="22"/>
      <c r="D82" s="22"/>
      <c r="E82" s="22"/>
      <c r="F82" s="22"/>
      <c r="G82" s="22"/>
      <c r="H82" s="22"/>
    </row>
    <row r="83" spans="1:8" x14ac:dyDescent="0.25">
      <c r="A83" s="22"/>
      <c r="B83" s="22"/>
      <c r="C83" s="22"/>
      <c r="D83" s="22"/>
      <c r="E83" s="22"/>
      <c r="F83" s="22"/>
      <c r="G83" s="22"/>
      <c r="H83" s="22"/>
    </row>
    <row r="84" spans="1:8" x14ac:dyDescent="0.25">
      <c r="A84" s="22"/>
      <c r="B84" s="22"/>
      <c r="C84" s="22"/>
      <c r="D84" s="22"/>
      <c r="E84" s="22"/>
      <c r="F84" s="22"/>
      <c r="G84" s="22"/>
      <c r="H84" s="22"/>
    </row>
    <row r="85" spans="1:8" x14ac:dyDescent="0.25">
      <c r="A85" s="22"/>
      <c r="B85" s="22"/>
      <c r="C85" s="22"/>
      <c r="D85" s="22"/>
      <c r="E85" s="22"/>
      <c r="F85" s="22"/>
      <c r="G85" s="22"/>
      <c r="H85" s="22"/>
    </row>
    <row r="86" spans="1:8" x14ac:dyDescent="0.25">
      <c r="A86" s="22"/>
      <c r="B86" s="22"/>
      <c r="C86" s="22"/>
      <c r="D86" s="22"/>
      <c r="E86" s="22"/>
      <c r="F86" s="22"/>
      <c r="G86" s="22"/>
      <c r="H86" s="22"/>
    </row>
    <row r="87" spans="1:8" x14ac:dyDescent="0.25">
      <c r="A87" s="22"/>
      <c r="B87" s="22"/>
      <c r="C87" s="22"/>
      <c r="D87" s="22"/>
      <c r="E87" s="22"/>
      <c r="F87" s="22"/>
      <c r="G87" s="22"/>
      <c r="H87" s="22"/>
    </row>
    <row r="88" spans="1:8" x14ac:dyDescent="0.25">
      <c r="A88" s="22"/>
      <c r="B88" s="22"/>
      <c r="C88" s="22"/>
      <c r="D88" s="22"/>
      <c r="E88" s="22"/>
      <c r="F88" s="22"/>
      <c r="G88" s="22"/>
      <c r="H88" s="22"/>
    </row>
    <row r="89" spans="1:8" x14ac:dyDescent="0.25">
      <c r="A89" s="22"/>
      <c r="B89" s="22"/>
      <c r="C89" s="22"/>
      <c r="D89" s="22"/>
      <c r="E89" s="22"/>
      <c r="F89" s="22"/>
      <c r="G89" s="22"/>
      <c r="H89" s="22"/>
    </row>
    <row r="90" spans="1:8" x14ac:dyDescent="0.25">
      <c r="A90" s="22"/>
      <c r="B90" s="22"/>
      <c r="C90" s="22"/>
      <c r="D90" s="22"/>
      <c r="E90" s="22"/>
      <c r="F90" s="22"/>
      <c r="G90" s="22"/>
      <c r="H90" s="22"/>
    </row>
    <row r="91" spans="1:8" x14ac:dyDescent="0.25">
      <c r="A91" s="22"/>
      <c r="B91" s="22"/>
      <c r="C91" s="22"/>
      <c r="D91" s="22"/>
      <c r="E91" s="22"/>
      <c r="F91" s="22"/>
      <c r="G91" s="22"/>
      <c r="H91" s="22"/>
    </row>
    <row r="92" spans="1:8" x14ac:dyDescent="0.25">
      <c r="A92" s="22"/>
      <c r="B92" s="22"/>
      <c r="C92" s="22"/>
      <c r="D92" s="22"/>
      <c r="E92" s="22"/>
      <c r="F92" s="22"/>
      <c r="G92" s="22"/>
      <c r="H92" s="22"/>
    </row>
    <row r="93" spans="1:8" x14ac:dyDescent="0.25">
      <c r="A93" s="22"/>
      <c r="B93" s="22"/>
      <c r="C93" s="22"/>
      <c r="D93" s="22"/>
      <c r="E93" s="22"/>
      <c r="F93" s="22"/>
      <c r="G93" s="22"/>
      <c r="H93" s="22"/>
    </row>
    <row r="94" spans="1:8" x14ac:dyDescent="0.25">
      <c r="A94" s="22"/>
      <c r="B94" s="22"/>
      <c r="C94" s="22"/>
      <c r="D94" s="22"/>
      <c r="E94" s="22"/>
      <c r="F94" s="22"/>
      <c r="G94" s="22"/>
      <c r="H94" s="22"/>
    </row>
    <row r="95" spans="1:8" x14ac:dyDescent="0.25">
      <c r="A95" s="22"/>
      <c r="B95" s="22"/>
      <c r="C95" s="22"/>
      <c r="D95" s="22"/>
      <c r="E95" s="22"/>
      <c r="F95" s="22"/>
      <c r="G95" s="22"/>
      <c r="H95" s="22"/>
    </row>
    <row r="96" spans="1:8" x14ac:dyDescent="0.25">
      <c r="A96" s="22"/>
      <c r="B96" s="22"/>
      <c r="C96" s="22"/>
      <c r="D96" s="22"/>
      <c r="E96" s="22"/>
      <c r="F96" s="22"/>
      <c r="G96" s="22"/>
      <c r="H96" s="22"/>
    </row>
    <row r="97" spans="1:8" x14ac:dyDescent="0.25">
      <c r="A97" s="22"/>
      <c r="B97" s="22"/>
      <c r="C97" s="22"/>
      <c r="D97" s="22"/>
      <c r="E97" s="22"/>
      <c r="F97" s="22"/>
      <c r="G97" s="22"/>
      <c r="H97" s="22"/>
    </row>
    <row r="98" spans="1:8" x14ac:dyDescent="0.25">
      <c r="A98" s="22"/>
      <c r="B98" s="22"/>
      <c r="C98" s="22"/>
      <c r="D98" s="22"/>
      <c r="E98" s="22"/>
      <c r="F98" s="22"/>
      <c r="G98" s="22"/>
      <c r="H98" s="22"/>
    </row>
    <row r="99" spans="1:8" x14ac:dyDescent="0.25">
      <c r="A99" s="22"/>
      <c r="B99" s="22"/>
      <c r="C99" s="22"/>
      <c r="D99" s="22"/>
      <c r="E99" s="22"/>
      <c r="F99" s="22"/>
      <c r="G99" s="22"/>
      <c r="H99" s="22"/>
    </row>
    <row r="100" spans="1:8" x14ac:dyDescent="0.25">
      <c r="A100" s="22"/>
      <c r="B100" s="22"/>
      <c r="C100" s="22"/>
      <c r="D100" s="22"/>
      <c r="E100" s="22"/>
      <c r="F100" s="22"/>
      <c r="G100" s="22"/>
      <c r="H100" s="22"/>
    </row>
    <row r="101" spans="1:8" x14ac:dyDescent="0.25">
      <c r="A101" s="22"/>
      <c r="B101" s="22"/>
      <c r="C101" s="22"/>
      <c r="D101" s="22"/>
      <c r="E101" s="22"/>
      <c r="F101" s="22"/>
      <c r="G101" s="22"/>
      <c r="H101" s="22"/>
    </row>
    <row r="102" spans="1:8" x14ac:dyDescent="0.25">
      <c r="A102" s="22"/>
      <c r="B102" s="22"/>
      <c r="C102" s="22"/>
      <c r="D102" s="22"/>
      <c r="E102" s="22"/>
      <c r="F102" s="22"/>
      <c r="G102" s="22"/>
      <c r="H102" s="22"/>
    </row>
  </sheetData>
  <dataValidations count="2">
    <dataValidation type="list" allowBlank="1" sqref="C3:C102" xr:uid="{00000000-0002-0000-0300-000000000000}">
      <formula1>"Critical,High,Medium,Low"</formula1>
      <formula2>0</formula2>
    </dataValidation>
    <dataValidation type="list" allowBlank="1" sqref="G3:G102" xr:uid="{00000000-0002-0000-0300-000001000000}">
      <formula1>"Open,Fixed,Retest passed,Won't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Summary</vt:lpstr>
      <vt:lpstr>Test script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Cosmas Ng'eno</cp:lastModifiedBy>
  <cp:revision>0</cp:revision>
  <dcterms:created xsi:type="dcterms:W3CDTF">2026-10-12T16:58:41Z</dcterms:created>
  <dcterms:modified xsi:type="dcterms:W3CDTF">2026-10-12T18:58:13Z</dcterms:modified>
  <dc:language>en-US</dc:language>
</cp:coreProperties>
</file>